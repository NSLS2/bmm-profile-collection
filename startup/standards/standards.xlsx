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26.jpeg" ContentType="image/jpeg"/>
  <Override PartName="/xl/media/image27.jpeg" ContentType="image/jpeg"/>
  <Override PartName="/xl/media/image25.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12.vml" ContentType="application/vnd.openxmlformats-officedocument.vmlDrawing"/>
  <Override PartName="/xl/drawings/vmlDrawing13.vml" ContentType="application/vnd.openxmlformats-officedocument.vmlDrawing"/>
  <Override PartName="/xl/drawings/vmlDrawing14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9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Ti" sheetId="1" state="visible" r:id="rId2"/>
    <sheet name="Fe" sheetId="2" state="visible" r:id="rId3"/>
    <sheet name="Ce" sheetId="3" state="visible" r:id="rId4"/>
    <sheet name="lanthanides" sheetId="4" state="visible" r:id="rId5"/>
    <sheet name="V_Sr" sheetId="5" state="visible" r:id="rId6"/>
    <sheet name="Mn" sheetId="6" state="visible" r:id="rId7"/>
    <sheet name="Co" sheetId="7" state="visible" r:id="rId8"/>
    <sheet name="Ni" sheetId="8" state="visible" r:id="rId9"/>
    <sheet name="Cu+Zn" sheetId="9" state="visible" r:id="rId10"/>
    <sheet name="As+Se" sheetId="10" state="visible" r:id="rId11"/>
    <sheet name="Br" sheetId="11" state="visible" r:id="rId12"/>
    <sheet name="4d_metals" sheetId="12" state="visible" r:id="rId13"/>
    <sheet name="5d_metals" sheetId="13" state="visible" r:id="rId14"/>
    <sheet name="all_references" sheetId="14" state="visible" r:id="rId15"/>
    <sheet name="Version history" sheetId="15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0"/>
            <rFont val="Arial"/>
            <family val="2"/>
            <charset val="1"/>
          </rPr>
          <t xml:space="preserve">Do NOT change the value of this cell!</t>
        </r>
      </text>
    </comment>
    <comment ref="B2" authorId="0">
      <text>
        <r>
          <rPr>
            <sz val="10"/>
            <rFont val="Arial"/>
            <family val="2"/>
            <charset val="1"/>
          </rPr>
          <t xml:space="preserve">Do NOT change the value of this cell</t>
        </r>
      </text>
    </comment>
    <comment ref="E1" authorId="0">
      <text>
        <r>
          <rPr>
            <sz val="10"/>
            <rFont val="Arial"/>
            <family val="2"/>
            <charset val="1"/>
          </rPr>
          <t xml:space="preserve">Listing the experimenters is no longer necessary.  The experimenter list will be drawn from the proposal.</t>
        </r>
      </text>
    </comment>
    <comment ref="R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S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T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U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  <comment ref="V6" authorId="0">
      <text>
        <r>
          <rPr>
            <sz val="10"/>
            <rFont val="Arial"/>
            <family val="2"/>
            <charset val="1"/>
          </rPr>
          <t xml:space="preserve">Default values for the motor parameters are NOT used. Specify motor positions explicitly in the cells below
</t>
        </r>
      </text>
    </comment>
  </commentList>
</comments>
</file>

<file path=xl/sharedStrings.xml><?xml version="1.0" encoding="utf-8"?>
<sst xmlns="http://schemas.openxmlformats.org/spreadsheetml/2006/main" count="3288" uniqueCount="600">
  <si>
    <t xml:space="preserve">Double wheel</t>
  </si>
  <si>
    <t xml:space="preserve">Experimenters:</t>
  </si>
  <si>
    <t xml:space="preserve">Close shutter at end?</t>
  </si>
  <si>
    <t xml:space="preserve">Yes</t>
  </si>
  <si>
    <t xml:space="preserve">Add element to filename?</t>
  </si>
  <si>
    <t xml:space="preserve">Element+edge at beginning</t>
  </si>
  <si>
    <t xml:space="preserve">Number of repetitions</t>
  </si>
  <si>
    <t xml:space="preserve">File name</t>
  </si>
  <si>
    <t xml:space="preserve">Scan numbers and plotting</t>
  </si>
  <si>
    <t xml:space="preserve">Photon delivery</t>
  </si>
  <si>
    <t xml:space="preserve">Sample metadata</t>
  </si>
  <si>
    <t xml:space="preserve">Scan parameters</t>
  </si>
  <si>
    <t xml:space="preserve">Motors</t>
  </si>
  <si>
    <t xml:space="preserve">Flags</t>
  </si>
  <si>
    <t xml:space="preserve">Ancillary information</t>
  </si>
  <si>
    <t xml:space="preserve">Slot number</t>
  </si>
  <si>
    <t xml:space="preserve">Ring</t>
  </si>
  <si>
    <t xml:space="preserve">Measure this slot?</t>
  </si>
  <si>
    <t xml:space="preserve">Filename</t>
  </si>
  <si>
    <t xml:space="preserve">Starting scan number</t>
  </si>
  <si>
    <t xml:space="preserve">Plotting mode</t>
  </si>
  <si>
    <t xml:space="preserve">Element symbol</t>
  </si>
  <si>
    <t xml:space="preserve">Absorption edge</t>
  </si>
  <si>
    <t xml:space="preserve">Focused/ unfocused beam</t>
  </si>
  <si>
    <t xml:space="preserve">Sample composition or stoichiometry</t>
  </si>
  <si>
    <t xml:space="preserve">Preparation of sample for XAS measurement</t>
  </si>
  <si>
    <t xml:space="preserve">Comment – anything else you want to say about your sample</t>
  </si>
  <si>
    <t xml:space="preserve">Scan boundaries</t>
  </si>
  <si>
    <t xml:space="preserve">Step sizes</t>
  </si>
  <si>
    <t xml:space="preserve">Integration times</t>
  </si>
  <si>
    <t xml:space="preserve">Detector X</t>
  </si>
  <si>
    <t xml:space="preserve">Sample X (absolute position, mm)</t>
  </si>
  <si>
    <t xml:space="preserve">Sample y (absolute position, mm)</t>
  </si>
  <si>
    <t xml:space="preserve">Slit width (absolute width, mm)</t>
  </si>
  <si>
    <t xml:space="preserve">Slit height (absolute height, mm)</t>
  </si>
  <si>
    <t xml:space="preserve">snapshots</t>
  </si>
  <si>
    <t xml:space="preserve">htmlpage</t>
  </si>
  <si>
    <t xml:space="preserve">usbstick</t>
  </si>
  <si>
    <t xml:space="preserve">bothways</t>
  </si>
  <si>
    <t xml:space="preserve">channelcut</t>
  </si>
  <si>
    <t xml:space="preserve">ththth</t>
  </si>
  <si>
    <t xml:space="preserve">URL</t>
  </si>
  <si>
    <t xml:space="preserve">DOI</t>
  </si>
  <si>
    <t xml:space="preserve">CIF</t>
  </si>
  <si>
    <t xml:space="preserve">Default</t>
  </si>
  <si>
    <t xml:space="preserve">Outer</t>
  </si>
  <si>
    <t xml:space="preserve">best_sample_ever</t>
  </si>
  <si>
    <t xml:space="preserve">next</t>
  </si>
  <si>
    <t xml:space="preserve">transmission</t>
  </si>
  <si>
    <t xml:space="preserve">Ti</t>
  </si>
  <si>
    <t xml:space="preserve">K</t>
  </si>
  <si>
    <t xml:space="preserve">unfocused</t>
  </si>
  <si>
    <t xml:space="preserve">X2O3</t>
  </si>
  <si>
    <t xml:space="preserve">powder on tape</t>
  </si>
  <si>
    <t xml:space="preserve">Welcome to BMM</t>
  </si>
  <si>
    <t xml:space="preserve">-200  -30  -10 25  15k</t>
  </si>
  <si>
    <t xml:space="preserve">10  2  0.3  0.05k</t>
  </si>
  <si>
    <t xml:space="preserve">0.5  0.5  0.5  0.5</t>
  </si>
  <si>
    <t xml:space="preserve">anatase</t>
  </si>
  <si>
    <t xml:space="preserve">TiO2 (anatase)</t>
  </si>
  <si>
    <t xml:space="preserve">rutile</t>
  </si>
  <si>
    <t xml:space="preserve">TiO2 (rutile)</t>
  </si>
  <si>
    <t xml:space="preserve">No</t>
  </si>
  <si>
    <t xml:space="preserve">brookite</t>
  </si>
  <si>
    <t xml:space="preserve">TiO2 (brookite)</t>
  </si>
  <si>
    <t xml:space="preserve">Ti2O3</t>
  </si>
  <si>
    <t xml:space="preserve">Ti2O3, titanium (III) oxide</t>
  </si>
  <si>
    <t xml:space="preserve">powder in pellet</t>
  </si>
  <si>
    <t xml:space="preserve">TiO</t>
  </si>
  <si>
    <t xml:space="preserve">TiO, titanium (II) oxide</t>
  </si>
  <si>
    <t xml:space="preserve">TiN</t>
  </si>
  <si>
    <t xml:space="preserve">titanium nitride</t>
  </si>
  <si>
    <t xml:space="preserve">TiC</t>
  </si>
  <si>
    <t xml:space="preserve">titanium carbide</t>
  </si>
  <si>
    <t xml:space="preserve">TiCN</t>
  </si>
  <si>
    <t xml:space="preserve">titanium carbonitride</t>
  </si>
  <si>
    <t xml:space="preserve">CaTiO3</t>
  </si>
  <si>
    <t xml:space="preserve">perovskite, calcium titanate </t>
  </si>
  <si>
    <t xml:space="preserve">powder in PEG pellet</t>
  </si>
  <si>
    <t xml:space="preserve">courtesy Martin Stennett, University of Sheffield</t>
  </si>
  <si>
    <t xml:space="preserve">CaZrTi2O7</t>
  </si>
  <si>
    <t xml:space="preserve">zirconolite</t>
  </si>
  <si>
    <t xml:space="preserve">Er2TiO5</t>
  </si>
  <si>
    <t xml:space="preserve">LiTi2O5</t>
  </si>
  <si>
    <t xml:space="preserve">Nd2TiO5</t>
  </si>
  <si>
    <t xml:space="preserve">NiTiO3</t>
  </si>
  <si>
    <t xml:space="preserve">Inner</t>
  </si>
  <si>
    <t xml:space="preserve">Sc2O3</t>
  </si>
  <si>
    <t xml:space="preserve">scandium dioxide</t>
  </si>
  <si>
    <t xml:space="preserve">Fe</t>
  </si>
  <si>
    <t xml:space="preserve">Wustite</t>
  </si>
  <si>
    <t xml:space="preserve">FeO</t>
  </si>
  <si>
    <t xml:space="preserve">Hematite</t>
  </si>
  <si>
    <t xml:space="preserve">alpha-Fe2O3</t>
  </si>
  <si>
    <t xml:space="preserve">Maghemite</t>
  </si>
  <si>
    <t xml:space="preserve">gamma-Fe2O3</t>
  </si>
  <si>
    <t xml:space="preserve">Goethite</t>
  </si>
  <si>
    <t xml:space="preserve">alpha-FeOOH</t>
  </si>
  <si>
    <t xml:space="preserve">Lepidocrocite</t>
  </si>
  <si>
    <t xml:space="preserve">gamma-FeOOH</t>
  </si>
  <si>
    <t xml:space="preserve">IronPhosphate</t>
  </si>
  <si>
    <t xml:space="preserve">FePO4</t>
  </si>
  <si>
    <t xml:space="preserve">Ferrihydrite</t>
  </si>
  <si>
    <t xml:space="preserve">FeOOH</t>
  </si>
  <si>
    <t xml:space="preserve">Magnetite</t>
  </si>
  <si>
    <t xml:space="preserve">Fe3O4</t>
  </si>
  <si>
    <t xml:space="preserve">Ilmenite</t>
  </si>
  <si>
    <t xml:space="preserve">FeTiO3</t>
  </si>
  <si>
    <t xml:space="preserve">PEG pellet</t>
  </si>
  <si>
    <t xml:space="preserve">NiFerrite</t>
  </si>
  <si>
    <t xml:space="preserve">NiFe2O4</t>
  </si>
  <si>
    <t xml:space="preserve">ZnFerrite</t>
  </si>
  <si>
    <t xml:space="preserve">ZnFe2O4</t>
  </si>
  <si>
    <t xml:space="preserve">Fayalite</t>
  </si>
  <si>
    <t xml:space="preserve">Fe2SiO4</t>
  </si>
  <si>
    <t xml:space="preserve">Aegerine</t>
  </si>
  <si>
    <t xml:space="preserve">NaFeSi2O6</t>
  </si>
  <si>
    <t xml:space="preserve">Staurolite</t>
  </si>
  <si>
    <t xml:space="preserve">Fe2Al9O6(SiO4)4(O,OH)2</t>
  </si>
  <si>
    <t xml:space="preserve">Vivianite</t>
  </si>
  <si>
    <t xml:space="preserve">Fe3(PO4)2</t>
  </si>
  <si>
    <t xml:space="preserve">Siderite</t>
  </si>
  <si>
    <t xml:space="preserve">FeCO3</t>
  </si>
  <si>
    <t xml:space="preserve">Fe2Oxalate</t>
  </si>
  <si>
    <t xml:space="preserve">FeC2O4(H2O)2</t>
  </si>
  <si>
    <t xml:space="preserve">Fe3Oxalate</t>
  </si>
  <si>
    <t xml:space="preserve">Fe2(C2O4)3(H2O)6</t>
  </si>
  <si>
    <t xml:space="preserve">Fe2TiO4</t>
  </si>
  <si>
    <t xml:space="preserve">Fe2TiO4, Ulvospinel, Synthetic </t>
  </si>
  <si>
    <t xml:space="preserve">SrLaFeO4</t>
  </si>
  <si>
    <t xml:space="preserve">SrLaFeO4, synthetic</t>
  </si>
  <si>
    <t xml:space="preserve">Hedenbergite</t>
  </si>
  <si>
    <t xml:space="preserve">CaFeSi2O6</t>
  </si>
  <si>
    <t xml:space="preserve">Andradite</t>
  </si>
  <si>
    <t xml:space="preserve">Ca3Fe2Si3O12</t>
  </si>
  <si>
    <t xml:space="preserve">Ilvaite</t>
  </si>
  <si>
    <t xml:space="preserve">CaFe(2+)2Fe(3+)(Si2O7)OOH</t>
  </si>
  <si>
    <t xml:space="preserve">Epidote</t>
  </si>
  <si>
    <t xml:space="preserve">Ca2Al2Fe(SiO4)(Si2O7)OOH</t>
  </si>
  <si>
    <t xml:space="preserve">Hornblende</t>
  </si>
  <si>
    <t xml:space="preserve">Ca2Fe4Al0.75(Si7AlO22)OH</t>
  </si>
  <si>
    <t xml:space="preserve">Almandine</t>
  </si>
  <si>
    <t xml:space="preserve">Fe3Al2Si3O12</t>
  </si>
  <si>
    <t xml:space="preserve">ferro-Axinite</t>
  </si>
  <si>
    <t xml:space="preserve">Ca2FeAl2BSi4O15OH</t>
  </si>
  <si>
    <t xml:space="preserve">Augite</t>
  </si>
  <si>
    <t xml:space="preserve">(Ca,Na)(Mg,Fe,Ti,Al)(Si,Al)2O6</t>
  </si>
  <si>
    <t xml:space="preserve">Chondrodite</t>
  </si>
  <si>
    <t xml:space="preserve">(Mg,Fe)5(SiO)2(F,OH,O)2</t>
  </si>
  <si>
    <t xml:space="preserve">Cordierite</t>
  </si>
  <si>
    <t xml:space="preserve">(Mg,Fe)2Al3(Si5AlO18)</t>
  </si>
  <si>
    <t xml:space="preserve">Diadochite</t>
  </si>
  <si>
    <t xml:space="preserve">Fe2(PO4)(SO4)OH.5H2O</t>
  </si>
  <si>
    <t xml:space="preserve">Ludwigite</t>
  </si>
  <si>
    <t xml:space="preserve">Mg2FeBO5</t>
  </si>
  <si>
    <t xml:space="preserve">Neotocite</t>
  </si>
  <si>
    <t xml:space="preserve">(Mn,Fe,Mg)SiO3.H2O</t>
  </si>
  <si>
    <t xml:space="preserve">Scorzalite</t>
  </si>
  <si>
    <t xml:space="preserve">(Fe,Mg)Al2(OH,PO4)2</t>
  </si>
  <si>
    <t xml:space="preserve">LaFeO3</t>
  </si>
  <si>
    <t xml:space="preserve">sample courtesy Igor Levin, NIST</t>
  </si>
  <si>
    <t xml:space="preserve">Vesuvianite</t>
  </si>
  <si>
    <t xml:space="preserve">Ca10(Mg,Fe)Al4(Si2O7)2(SiO4)4(OH)4</t>
  </si>
  <si>
    <t xml:space="preserve">Ce</t>
  </si>
  <si>
    <t xml:space="preserve">L3</t>
  </si>
  <si>
    <t xml:space="preserve">CePO4</t>
  </si>
  <si>
    <t xml:space="preserve">Powder in PEG pellet</t>
  </si>
  <si>
    <t xml:space="preserve">sample courtesy Martin Stennett, University of Sheffield</t>
  </si>
  <si>
    <t xml:space="preserve">CeO2</t>
  </si>
  <si>
    <t xml:space="preserve">Ce2Ti2O7</t>
  </si>
  <si>
    <t xml:space="preserve">Ce2Ti2O6</t>
  </si>
  <si>
    <t xml:space="preserve">Ce0.67TiO3</t>
  </si>
  <si>
    <t xml:space="preserve">CaCe2Ti4O12</t>
  </si>
  <si>
    <t xml:space="preserve">Ce2SiO7</t>
  </si>
  <si>
    <t xml:space="preserve">SrCe2Ti4O12</t>
  </si>
  <si>
    <t xml:space="preserve">Bi2Ce2Ti4O12</t>
  </si>
  <si>
    <t xml:space="preserve">La</t>
  </si>
  <si>
    <t xml:space="preserve">10  2  0.5  0.05k</t>
  </si>
  <si>
    <t xml:space="preserve">Sm2O3-m</t>
  </si>
  <si>
    <t xml:space="preserve">Sm</t>
  </si>
  <si>
    <t xml:space="preserve">monoclinic Sm2O3</t>
  </si>
  <si>
    <t xml:space="preserve">-200  -30  -10 25  575</t>
  </si>
  <si>
    <t xml:space="preserve">Eu2O3-m</t>
  </si>
  <si>
    <t xml:space="preserve">Eu</t>
  </si>
  <si>
    <t xml:space="preserve">monoclinic Eu2O3</t>
  </si>
  <si>
    <t xml:space="preserve">-200  -30  -10 25  620</t>
  </si>
  <si>
    <t xml:space="preserve">ErCoO3</t>
  </si>
  <si>
    <t xml:space="preserve">ErCrO3, erbium chromate</t>
  </si>
  <si>
    <t xml:space="preserve">-200  -30  -10 25  886</t>
  </si>
  <si>
    <t xml:space="preserve">Er2O3</t>
  </si>
  <si>
    <t xml:space="preserve">Er</t>
  </si>
  <si>
    <t xml:space="preserve">Yb2O3</t>
  </si>
  <si>
    <t xml:space="preserve">Yb</t>
  </si>
  <si>
    <t xml:space="preserve">-200  -30  -10 25  1015</t>
  </si>
  <si>
    <t xml:space="preserve">Gd_sulfate</t>
  </si>
  <si>
    <t xml:space="preserve">Gd</t>
  </si>
  <si>
    <t xml:space="preserve">Gd2(SO4)2</t>
  </si>
  <si>
    <t xml:space="preserve">unknown provenence</t>
  </si>
  <si>
    <t xml:space="preserve">-200  -30  -10 25  667</t>
  </si>
  <si>
    <t xml:space="preserve">Pr2Ti2O7</t>
  </si>
  <si>
    <t xml:space="preserve">Pr</t>
  </si>
  <si>
    <t xml:space="preserve">-200  -30  -10 25  456</t>
  </si>
  <si>
    <t xml:space="preserve">Pr-hydroxide</t>
  </si>
  <si>
    <t xml:space="preserve">Pr(OH)3</t>
  </si>
  <si>
    <t xml:space="preserve">NdPO4</t>
  </si>
  <si>
    <t xml:space="preserve">Nd</t>
  </si>
  <si>
    <t xml:space="preserve">NdPO4, Nedymium phospahte</t>
  </si>
  <si>
    <t xml:space="preserve">sample courtesy Jeff Catalano, Washington University</t>
  </si>
  <si>
    <t xml:space="preserve">-200  -30  -10 25  493</t>
  </si>
  <si>
    <t xml:space="preserve">Eu2Ti2O7</t>
  </si>
  <si>
    <t xml:space="preserve">material made by Fatih Dogan</t>
  </si>
  <si>
    <t xml:space="preserve">EuTiO3</t>
  </si>
  <si>
    <t xml:space="preserve">Eu2O3-c</t>
  </si>
  <si>
    <t xml:space="preserve">cubic Eu2O3</t>
  </si>
  <si>
    <t xml:space="preserve">Pr2TiO5</t>
  </si>
  <si>
    <t xml:space="preserve">Sm2TiO5</t>
  </si>
  <si>
    <t xml:space="preserve">Eu2TiO5</t>
  </si>
  <si>
    <t xml:space="preserve">Gd2TiO5</t>
  </si>
  <si>
    <t xml:space="preserve">Tb2TiO5</t>
  </si>
  <si>
    <t xml:space="preserve">Tb</t>
  </si>
  <si>
    <t xml:space="preserve">-200  -30  -10 25  717</t>
  </si>
  <si>
    <t xml:space="preserve">Dy2TiO5</t>
  </si>
  <si>
    <t xml:space="preserve">Dy</t>
  </si>
  <si>
    <t xml:space="preserve">-200  -30  -10 25  770</t>
  </si>
  <si>
    <t xml:space="preserve">Ho2TiO5</t>
  </si>
  <si>
    <t xml:space="preserve">Ho</t>
  </si>
  <si>
    <t xml:space="preserve">-200  -30  -10 25  827</t>
  </si>
  <si>
    <t xml:space="preserve">Tm2TiO5</t>
  </si>
  <si>
    <t xml:space="preserve">Tm</t>
  </si>
  <si>
    <t xml:space="preserve">-200  -30  -10 25  949</t>
  </si>
  <si>
    <t xml:space="preserve">Yb2TiO5</t>
  </si>
  <si>
    <t xml:space="preserve">Lu2TiO5</t>
  </si>
  <si>
    <t xml:space="preserve">Lu</t>
  </si>
  <si>
    <t xml:space="preserve">-200  -30  -10 25  1085</t>
  </si>
  <si>
    <t xml:space="preserve">Sm2Ti2O7</t>
  </si>
  <si>
    <t xml:space="preserve">Gd2Ti2O7</t>
  </si>
  <si>
    <t xml:space="preserve">Dy2Ti2O7</t>
  </si>
  <si>
    <t xml:space="preserve">DyScO3</t>
  </si>
  <si>
    <t xml:space="preserve">NdF3</t>
  </si>
  <si>
    <t xml:space="preserve">Nd2Zr2O7</t>
  </si>
  <si>
    <t xml:space="preserve">Nd2Ti2O7</t>
  </si>
  <si>
    <t xml:space="preserve">Nd-hydroxide</t>
  </si>
  <si>
    <t xml:space="preserve">Nd(OH)3</t>
  </si>
  <si>
    <t xml:space="preserve">V</t>
  </si>
  <si>
    <t xml:space="preserve">VO2</t>
  </si>
  <si>
    <t xml:space="preserve">Thermo Scientific; Vanadium (IV) oxide (99%); 022957.09; Lot T12H043</t>
  </si>
  <si>
    <t xml:space="preserve">10 2 0.3 0.05k</t>
  </si>
  <si>
    <t xml:space="preserve">V2O3</t>
  </si>
  <si>
    <t xml:space="preserve">Sigma Aldrich; Vanadium (III) oxide; 463744-5G; Lot 0000089530</t>
  </si>
  <si>
    <t xml:space="preserve">V2O5</t>
  </si>
  <si>
    <t xml:space="preserve">Alfa Aesar; Vanadium (V) oxide (99.2%); 11093; Lot H03Q11</t>
  </si>
  <si>
    <t xml:space="preserve">VanadylSulfate</t>
  </si>
  <si>
    <t xml:space="preserve">VOSO4</t>
  </si>
  <si>
    <t xml:space="preserve">Sigma Aldrich; Vanadium (IV) oxide sulfate hydrate (97%); 233706</t>
  </si>
  <si>
    <t xml:space="preserve">Vfoil</t>
  </si>
  <si>
    <t xml:space="preserve">reference</t>
  </si>
  <si>
    <t xml:space="preserve">V foil</t>
  </si>
  <si>
    <t xml:space="preserve">foil reference</t>
  </si>
  <si>
    <t xml:space="preserve">foil</t>
  </si>
  <si>
    <t xml:space="preserve">SrSulfate</t>
  </si>
  <si>
    <t xml:space="preserve">Sr</t>
  </si>
  <si>
    <t xml:space="preserve">SrSO4</t>
  </si>
  <si>
    <t xml:space="preserve">Celestine; Yate; UK</t>
  </si>
  <si>
    <t xml:space="preserve">SrMolybdate</t>
  </si>
  <si>
    <t xml:space="preserve">SrMoO4</t>
  </si>
  <si>
    <t xml:space="preserve">Synthetic (Martin Stennett, University of Sheffield)</t>
  </si>
  <si>
    <t xml:space="preserve">SrHydroxide</t>
  </si>
  <si>
    <t xml:space="preserve">Sr(OH)2.8H2O</t>
  </si>
  <si>
    <t xml:space="preserve">Sigma Aldrich; 95%; 415219; Lot STBG0528V</t>
  </si>
  <si>
    <t xml:space="preserve">SrTitanate</t>
  </si>
  <si>
    <t xml:space="preserve">SrTiO3</t>
  </si>
  <si>
    <t xml:space="preserve">Mn</t>
  </si>
  <si>
    <t xml:space="preserve">Manganosite</t>
  </si>
  <si>
    <t xml:space="preserve">MnO</t>
  </si>
  <si>
    <t xml:space="preserve">Manganese_tetroxide</t>
  </si>
  <si>
    <t xml:space="preserve">Mn3O4</t>
  </si>
  <si>
    <t xml:space="preserve">Bixbyite</t>
  </si>
  <si>
    <t xml:space="preserve">Mn2O3</t>
  </si>
  <si>
    <t xml:space="preserve">Pyrolucite</t>
  </si>
  <si>
    <t xml:space="preserve">MnO2</t>
  </si>
  <si>
    <t xml:space="preserve">Rhodocrosite</t>
  </si>
  <si>
    <t xml:space="preserve">MnCO3</t>
  </si>
  <si>
    <t xml:space="preserve">Braunite</t>
  </si>
  <si>
    <t xml:space="preserve">Mn6O8(SiO4)</t>
  </si>
  <si>
    <t xml:space="preserve">Braunite, Manganese Mine, Copper Harbor, Keweenaw Co., Michigan, USA; 0.2x abs. @Mn</t>
  </si>
  <si>
    <t xml:space="preserve">Olmite</t>
  </si>
  <si>
    <t xml:space="preserve">CaMnSiO3(OH)(OH)</t>
  </si>
  <si>
    <t xml:space="preserve">Olmite, N'Chwanning II Mine, Kuruma, Kalahari Manganese Field, Northoern Cape, SA</t>
  </si>
  <si>
    <t xml:space="preserve">Rhodonite</t>
  </si>
  <si>
    <t xml:space="preserve">CaMn3Mn(Si5O15)</t>
  </si>
  <si>
    <t xml:space="preserve">Rhodonite, CM5975; Franklin Mine, Sussex County, New Jersey, USA</t>
  </si>
  <si>
    <t xml:space="preserve">Babingtonite</t>
  </si>
  <si>
    <t xml:space="preserve">fluorescence</t>
  </si>
  <si>
    <t xml:space="preserve">Ca2Fe0.75Mn0.25FeSi5O14(OH)</t>
  </si>
  <si>
    <t xml:space="preserve">Babingtonite, CM14452; Lane's Quarry, Westfield, Hampden County, Massachusetts</t>
  </si>
  <si>
    <t xml:space="preserve">-200 -30 -10 25 560</t>
  </si>
  <si>
    <t xml:space="preserve">2 2 2 2</t>
  </si>
  <si>
    <t xml:space="preserve">Axinite</t>
  </si>
  <si>
    <t xml:space="preserve">Ca2MnAl2BSi4O15(OH)</t>
  </si>
  <si>
    <t xml:space="preserve">Axinite, CM17413; Luning, Mineral County, Nevada, USA</t>
  </si>
  <si>
    <t xml:space="preserve">Mnfoil</t>
  </si>
  <si>
    <t xml:space="preserve">Mn foil</t>
  </si>
  <si>
    <t xml:space="preserve">metal powder</t>
  </si>
  <si>
    <t xml:space="preserve">reference wheel</t>
  </si>
  <si>
    <t xml:space="preserve">LaMnO3</t>
  </si>
  <si>
    <t xml:space="preserve">Co</t>
  </si>
  <si>
    <t xml:space="preserve">CoO</t>
  </si>
  <si>
    <t xml:space="preserve">CoO, cobalt monoxide</t>
  </si>
  <si>
    <t xml:space="preserve">Co2O3</t>
  </si>
  <si>
    <t xml:space="preserve">Co3O4</t>
  </si>
  <si>
    <t xml:space="preserve">CoAlO3</t>
  </si>
  <si>
    <t xml:space="preserve">CoAlO3, cobalt aluminate</t>
  </si>
  <si>
    <t xml:space="preserve">LaCoO3</t>
  </si>
  <si>
    <t xml:space="preserve">Ni</t>
  </si>
  <si>
    <t xml:space="preserve">NiO</t>
  </si>
  <si>
    <t xml:space="preserve">NiO, nickel oxide</t>
  </si>
  <si>
    <t xml:space="preserve">NiHydroxide</t>
  </si>
  <si>
    <t xml:space="preserve">Ni(OH)2, nickel hydroxide</t>
  </si>
  <si>
    <t xml:space="preserve">NiBO3</t>
  </si>
  <si>
    <t xml:space="preserve">NiBO3.xH2O, nickel borate hydrate</t>
  </si>
  <si>
    <t xml:space="preserve">NiAl2O4</t>
  </si>
  <si>
    <t xml:space="preserve">NiAl2O4, nickel aluminate</t>
  </si>
  <si>
    <t xml:space="preserve">LaNiO3</t>
  </si>
  <si>
    <t xml:space="preserve">LaNiO3, lanthanum nickelate</t>
  </si>
  <si>
    <t xml:space="preserve">Zn</t>
  </si>
  <si>
    <t xml:space="preserve">Cufoil</t>
  </si>
  <si>
    <t xml:space="preserve">Cu</t>
  </si>
  <si>
    <t xml:space="preserve">Cu metal</t>
  </si>
  <si>
    <t xml:space="preserve">reference metal</t>
  </si>
  <si>
    <t xml:space="preserve">reference foil</t>
  </si>
  <si>
    <t xml:space="preserve">CuO</t>
  </si>
  <si>
    <t xml:space="preserve">Cu2O</t>
  </si>
  <si>
    <t xml:space="preserve">Dioptase</t>
  </si>
  <si>
    <t xml:space="preserve">CuSi2(OH)2</t>
  </si>
  <si>
    <t xml:space="preserve">Covellite</t>
  </si>
  <si>
    <t xml:space="preserve">CuS</t>
  </si>
  <si>
    <t xml:space="preserve">CuCl2</t>
  </si>
  <si>
    <t xml:space="preserve">CuCl2, eriochalcite</t>
  </si>
  <si>
    <t xml:space="preserve">sample coutesy Ankita Mohanty and Karen Chen-Wiegart, Stony Brook</t>
  </si>
  <si>
    <t xml:space="preserve">Znfoil</t>
  </si>
  <si>
    <t xml:space="preserve">Zn metal</t>
  </si>
  <si>
    <t xml:space="preserve">ZnO</t>
  </si>
  <si>
    <t xml:space="preserve">Hemimorphite</t>
  </si>
  <si>
    <t xml:space="preserve">Zn4Si2O7(OH)2·H2O</t>
  </si>
  <si>
    <t xml:space="preserve">Willemite</t>
  </si>
  <si>
    <t xml:space="preserve">Zn2SiO4</t>
  </si>
  <si>
    <t xml:space="preserve">Zincite</t>
  </si>
  <si>
    <t xml:space="preserve">Petedunnite</t>
  </si>
  <si>
    <t xml:space="preserve">both</t>
  </si>
  <si>
    <t xml:space="preserve">Ca(Zn,Mn,Fe,Mg)Si2O6</t>
  </si>
  <si>
    <t xml:space="preserve">Hardystonite</t>
  </si>
  <si>
    <t xml:space="preserve">Ca2ZnSi2O7</t>
  </si>
  <si>
    <t xml:space="preserve">As</t>
  </si>
  <si>
    <t xml:space="preserve">PotassiumAresenate</t>
  </si>
  <si>
    <t xml:space="preserve">K3AsO4.12H2O</t>
  </si>
  <si>
    <t xml:space="preserve">sample courtesy Evan Jahrman, NIST</t>
  </si>
  <si>
    <t xml:space="preserve">ArsenicTrioxide</t>
  </si>
  <si>
    <t xml:space="preserve">As2O3</t>
  </si>
  <si>
    <t xml:space="preserve">ArsenicPentoxide</t>
  </si>
  <si>
    <t xml:space="preserve">As2O5</t>
  </si>
  <si>
    <t xml:space="preserve">SodiumMetaArsenite</t>
  </si>
  <si>
    <t xml:space="preserve">NaAsO2</t>
  </si>
  <si>
    <t xml:space="preserve">DisodiumMethylArsenate</t>
  </si>
  <si>
    <t xml:space="preserve">CH3AsNa2O3</t>
  </si>
  <si>
    <t xml:space="preserve">Realgar</t>
  </si>
  <si>
    <t xml:space="preserve">AsS</t>
  </si>
  <si>
    <t xml:space="preserve">Powder + BN in plastic frame, courtesy of Sarah Nicolas</t>
  </si>
  <si>
    <t xml:space="preserve">CacodylicAcid</t>
  </si>
  <si>
    <t xml:space="preserve">C2H7AsO2</t>
  </si>
  <si>
    <t xml:space="preserve">TetramethylArsoniumIodide</t>
  </si>
  <si>
    <t xml:space="preserve">C4H12AsI</t>
  </si>
  <si>
    <t xml:space="preserve">ArsenoBetaine</t>
  </si>
  <si>
    <t xml:space="preserve">C5H11AsO2</t>
  </si>
  <si>
    <t xml:space="preserve">Orpament</t>
  </si>
  <si>
    <t xml:space="preserve">As2S3</t>
  </si>
  <si>
    <t xml:space="preserve">SeleniumOxide</t>
  </si>
  <si>
    <t xml:space="preserve">Se</t>
  </si>
  <si>
    <t xml:space="preserve">SeO2</t>
  </si>
  <si>
    <t xml:space="preserve">Br</t>
  </si>
  <si>
    <t xml:space="preserve">KBr</t>
  </si>
  <si>
    <t xml:space="preserve">sample courtesy of John Bussey, Washington State University</t>
  </si>
  <si>
    <t xml:space="preserve">NaBr</t>
  </si>
  <si>
    <t xml:space="preserve">NaBrO3</t>
  </si>
  <si>
    <t xml:space="preserve">CaBr2</t>
  </si>
  <si>
    <t xml:space="preserve">Zr</t>
  </si>
  <si>
    <t xml:space="preserve">ZrO2</t>
  </si>
  <si>
    <t xml:space="preserve">ZrO2, zirconia</t>
  </si>
  <si>
    <t xml:space="preserve">Wadeite</t>
  </si>
  <si>
    <t xml:space="preserve">K2Zr(Si3O9), wadeite</t>
  </si>
  <si>
    <t xml:space="preserve">Zirconolite</t>
  </si>
  <si>
    <t xml:space="preserve">CaZrTi2O7, zirconolite</t>
  </si>
  <si>
    <t xml:space="preserve">Li2ZrO3</t>
  </si>
  <si>
    <t xml:space="preserve">Li2ZrO3, lithium zirconate</t>
  </si>
  <si>
    <t xml:space="preserve">powder in BN pellet</t>
  </si>
  <si>
    <t xml:space="preserve">BMM standards collection</t>
  </si>
  <si>
    <t xml:space="preserve">N2MoO4</t>
  </si>
  <si>
    <t xml:space="preserve">Mo</t>
  </si>
  <si>
    <t xml:space="preserve">Na2MoO4, sodium molybdate</t>
  </si>
  <si>
    <t xml:space="preserve">CaMoO4</t>
  </si>
  <si>
    <t xml:space="preserve">CaMoO4, calcium molbdate</t>
  </si>
  <si>
    <t xml:space="preserve">MoS2</t>
  </si>
  <si>
    <t xml:space="preserve">MoS2, molybdenum disulfide</t>
  </si>
  <si>
    <t xml:space="preserve">MoO3</t>
  </si>
  <si>
    <t xml:space="preserve">MoO3, molybdenum trioxide</t>
  </si>
  <si>
    <t xml:space="preserve">MoO2</t>
  </si>
  <si>
    <t xml:space="preserve">MoO2, molybdenum dioxide</t>
  </si>
  <si>
    <t xml:space="preserve">Y2TiO5</t>
  </si>
  <si>
    <t xml:space="preserve">Y</t>
  </si>
  <si>
    <t xml:space="preserve">Y2TiO5, stuffed pyrochlore</t>
  </si>
  <si>
    <t xml:space="preserve">Y2O3</t>
  </si>
  <si>
    <t xml:space="preserve">CaTiNbO6</t>
  </si>
  <si>
    <t xml:space="preserve">Nb</t>
  </si>
  <si>
    <t xml:space="preserve">Cerium titanoniobate</t>
  </si>
  <si>
    <t xml:space="preserve">NbC</t>
  </si>
  <si>
    <t xml:space="preserve">NnN, niobium carbide</t>
  </si>
  <si>
    <t xml:space="preserve">sample courtesy Wantana Klysubun, SLRI</t>
  </si>
  <si>
    <t xml:space="preserve">NbN</t>
  </si>
  <si>
    <t xml:space="preserve">NbN, niobium nitride</t>
  </si>
  <si>
    <t xml:space="preserve">Nb2O5</t>
  </si>
  <si>
    <t xml:space="preserve">Nb2O5, niobium pentoxide</t>
  </si>
  <si>
    <t xml:space="preserve">NbO2</t>
  </si>
  <si>
    <t xml:space="preserve">NbO2, niobium dioxide</t>
  </si>
  <si>
    <t xml:space="preserve">Pb</t>
  </si>
  <si>
    <t xml:space="preserve">PbO</t>
  </si>
  <si>
    <t xml:space="preserve">PbO, massicot</t>
  </si>
  <si>
    <t xml:space="preserve">PbO2</t>
  </si>
  <si>
    <t xml:space="preserve">PbO2, lead dioxide</t>
  </si>
  <si>
    <t xml:space="preserve">PbS</t>
  </si>
  <si>
    <t xml:space="preserve">PbS, galena</t>
  </si>
  <si>
    <t xml:space="preserve">PbSO4</t>
  </si>
  <si>
    <t xml:space="preserve">PbSO4, angelsite</t>
  </si>
  <si>
    <t xml:space="preserve">PbCO3</t>
  </si>
  <si>
    <t xml:space="preserve">PbCO3, cerrusite</t>
  </si>
  <si>
    <t xml:space="preserve">PbCl</t>
  </si>
  <si>
    <t xml:space="preserve">PbCl, lead chloride</t>
  </si>
  <si>
    <t xml:space="preserve">PtACAC</t>
  </si>
  <si>
    <t xml:space="preserve">Pt</t>
  </si>
  <si>
    <t xml:space="preserve">Pt(C5H7O2)2, Platinum acetylacetonate</t>
  </si>
  <si>
    <t xml:space="preserve">powder on tape 18 layers</t>
  </si>
  <si>
    <t xml:space="preserve">CAS#15170=57=7. STREM Chemicals Inc., Cat#78-1400-1G, Lot#L00102507, Sample courtesy Elaine Flynn, Washington University</t>
  </si>
  <si>
    <t xml:space="preserve">PtRu</t>
  </si>
  <si>
    <t xml:space="preserve">PtRu powder</t>
  </si>
  <si>
    <t xml:space="preserve">PotassiumHexaChloroPlatinate</t>
  </si>
  <si>
    <t xml:space="preserve">K2PtCl6</t>
  </si>
  <si>
    <t xml:space="preserve">sample courtesy Simon Bare and Shelly Kelly</t>
  </si>
  <si>
    <t xml:space="preserve">TetraammineplatinumChloride</t>
  </si>
  <si>
    <t xml:space="preserve">Pt(NH3)4Cl2.xH2O</t>
  </si>
  <si>
    <t xml:space="preserve">PlatinumChloride</t>
  </si>
  <si>
    <t xml:space="preserve">PtCl2</t>
  </si>
  <si>
    <t xml:space="preserve">BiMetal</t>
  </si>
  <si>
    <t xml:space="preserve">Bi</t>
  </si>
  <si>
    <t xml:space="preserve">BiF3</t>
  </si>
  <si>
    <t xml:space="preserve">BiF3, bismuth fluoride</t>
  </si>
  <si>
    <t xml:space="preserve">NH4ReO4</t>
  </si>
  <si>
    <t xml:space="preserve">Re</t>
  </si>
  <si>
    <t xml:space="preserve">NH4ReO4, Ammonium perrhenate</t>
  </si>
  <si>
    <t xml:space="preserve">Re_metal</t>
  </si>
  <si>
    <t xml:space="preserve">Re metal powder</t>
  </si>
  <si>
    <t xml:space="preserve">ReO3</t>
  </si>
  <si>
    <t xml:space="preserve">ReO3, Rhenium trioxide</t>
  </si>
  <si>
    <t xml:space="preserve">ReO2</t>
  </si>
  <si>
    <t xml:space="preserve">ReO2, Rhenium dioxide</t>
  </si>
  <si>
    <t xml:space="preserve">GoldSulfide</t>
  </si>
  <si>
    <t xml:space="preserve">Au</t>
  </si>
  <si>
    <t xml:space="preserve">Au2S</t>
  </si>
  <si>
    <t xml:space="preserve">GoldThiocyanate</t>
  </si>
  <si>
    <t xml:space="preserve">KAu(SCN)4, gold potassium thocyanate</t>
  </si>
  <si>
    <t xml:space="preserve">GoldThiomalate</t>
  </si>
  <si>
    <t xml:space="preserve">C4H3AuNa2O4S, gold thiomalate</t>
  </si>
  <si>
    <t xml:space="preserve">GoldThiosulfate</t>
  </si>
  <si>
    <t xml:space="preserve">AuH2Na3O6S4+, gold thiosulfate</t>
  </si>
  <si>
    <t xml:space="preserve">La4LiAuO8</t>
  </si>
  <si>
    <t xml:space="preserve">sample courtesy Martin Stennett, University of Sheffield, see DOI: 10.1021/ic100486g</t>
  </si>
  <si>
    <t xml:space="preserve">GoldAcetate</t>
  </si>
  <si>
    <t xml:space="preserve">Au(C2H3O2)3, gold scetate</t>
  </si>
  <si>
    <t xml:space="preserve">GoldOxide</t>
  </si>
  <si>
    <t xml:space="preserve">Au2O3, Gold oxide</t>
  </si>
  <si>
    <t xml:space="preserve">TitaniumFoil</t>
  </si>
  <si>
    <t xml:space="preserve">Ti foil</t>
  </si>
  <si>
    <t xml:space="preserve">standard reference foil</t>
  </si>
  <si>
    <t xml:space="preserve">CesiumNitrate</t>
  </si>
  <si>
    <t xml:space="preserve">Cs</t>
  </si>
  <si>
    <t xml:space="preserve">CsNO3</t>
  </si>
  <si>
    <t xml:space="preserve">-200  -30  -10 25  335</t>
  </si>
  <si>
    <t xml:space="preserve">BariumSomething</t>
  </si>
  <si>
    <t xml:space="preserve">Ba</t>
  </si>
  <si>
    <t xml:space="preserve">Ba something</t>
  </si>
  <si>
    <t xml:space="preserve">VanadiumFoil</t>
  </si>
  <si>
    <t xml:space="preserve">LanthanumHydroxide</t>
  </si>
  <si>
    <t xml:space="preserve">La(OH)3</t>
  </si>
  <si>
    <t xml:space="preserve">-200  -30  -10 25  390</t>
  </si>
  <si>
    <t xml:space="preserve">L1</t>
  </si>
  <si>
    <t xml:space="preserve">CeriumDioxide</t>
  </si>
  <si>
    <t xml:space="preserve">-200  -30  -10 25  420</t>
  </si>
  <si>
    <t xml:space="preserve">PraseodymiumOxide</t>
  </si>
  <si>
    <t xml:space="preserve">Pr6O11</t>
  </si>
  <si>
    <t xml:space="preserve">ChromiumFoil</t>
  </si>
  <si>
    <t xml:space="preserve">Cr</t>
  </si>
  <si>
    <t xml:space="preserve">Cr foil</t>
  </si>
  <si>
    <t xml:space="preserve">NeodymiumOxide</t>
  </si>
  <si>
    <t xml:space="preserve">Nd2O3</t>
  </si>
  <si>
    <t xml:space="preserve">ManganeseMetal</t>
  </si>
  <si>
    <t xml:space="preserve">Mn metal powder</t>
  </si>
  <si>
    <t xml:space="preserve">standard reference</t>
  </si>
  <si>
    <t xml:space="preserve">SamariumOxide</t>
  </si>
  <si>
    <t xml:space="preserve">Sm2O3</t>
  </si>
  <si>
    <t xml:space="preserve">EuropiumOxide</t>
  </si>
  <si>
    <t xml:space="preserve">Eu2O3</t>
  </si>
  <si>
    <t xml:space="preserve">IronFoil</t>
  </si>
  <si>
    <t xml:space="preserve">Fe foil</t>
  </si>
  <si>
    <t xml:space="preserve">GadoliniumOxide</t>
  </si>
  <si>
    <t xml:space="preserve">Gd2O3</t>
  </si>
  <si>
    <t xml:space="preserve">TerbiumOxide</t>
  </si>
  <si>
    <t xml:space="preserve">Tb4O9</t>
  </si>
  <si>
    <t xml:space="preserve">CobaltFoil</t>
  </si>
  <si>
    <t xml:space="preserve">Co foil</t>
  </si>
  <si>
    <t xml:space="preserve">DysprosiumOxide</t>
  </si>
  <si>
    <t xml:space="preserve">Dy2O3</t>
  </si>
  <si>
    <t xml:space="preserve">HolmiumOxide</t>
  </si>
  <si>
    <t xml:space="preserve">Ho2O3</t>
  </si>
  <si>
    <t xml:space="preserve">NickelFoil</t>
  </si>
  <si>
    <t xml:space="preserve">Ni foil</t>
  </si>
  <si>
    <t xml:space="preserve">ErbiumOxide</t>
  </si>
  <si>
    <t xml:space="preserve">ThuliumOxide</t>
  </si>
  <si>
    <t xml:space="preserve">Tm2O3</t>
  </si>
  <si>
    <t xml:space="preserve">YtterbiumOxide</t>
  </si>
  <si>
    <t xml:space="preserve">CopperFoil</t>
  </si>
  <si>
    <t xml:space="preserve">Cu foil</t>
  </si>
  <si>
    <t xml:space="preserve">LutetiumOxide</t>
  </si>
  <si>
    <t xml:space="preserve">Lu2O3</t>
  </si>
  <si>
    <t xml:space="preserve">HafniumOxide</t>
  </si>
  <si>
    <t xml:space="preserve">Hf</t>
  </si>
  <si>
    <t xml:space="preserve">HfO2</t>
  </si>
  <si>
    <t xml:space="preserve">ZincFoil</t>
  </si>
  <si>
    <t xml:space="preserve">Zn foil</t>
  </si>
  <si>
    <t xml:space="preserve">TantalumOxide</t>
  </si>
  <si>
    <t xml:space="preserve">Ta</t>
  </si>
  <si>
    <t xml:space="preserve">Ta2O5</t>
  </si>
  <si>
    <t xml:space="preserve">TungstenOxide</t>
  </si>
  <si>
    <t xml:space="preserve">W</t>
  </si>
  <si>
    <t xml:space="preserve">WO3</t>
  </si>
  <si>
    <t xml:space="preserve">GalliumOxide</t>
  </si>
  <si>
    <t xml:space="preserve">Ga</t>
  </si>
  <si>
    <t xml:space="preserve">Ga2O3</t>
  </si>
  <si>
    <t xml:space="preserve">RheniumOxide</t>
  </si>
  <si>
    <t xml:space="preserve">Osmium something</t>
  </si>
  <si>
    <t xml:space="preserve">Os</t>
  </si>
  <si>
    <t xml:space="preserve">Os something</t>
  </si>
  <si>
    <t xml:space="preserve">GermaniumOxide</t>
  </si>
  <si>
    <t xml:space="preserve">Ge</t>
  </si>
  <si>
    <t xml:space="preserve">GeO2</t>
  </si>
  <si>
    <t xml:space="preserve">Iridium something</t>
  </si>
  <si>
    <t xml:space="preserve">Ir</t>
  </si>
  <si>
    <t xml:space="preserve">Ir something</t>
  </si>
  <si>
    <t xml:space="preserve">PlatinumFoil</t>
  </si>
  <si>
    <t xml:space="preserve">Pt foil</t>
  </si>
  <si>
    <t xml:space="preserve">GoldFoil</t>
  </si>
  <si>
    <t xml:space="preserve">Au foil</t>
  </si>
  <si>
    <t xml:space="preserve">SeleniumMetal</t>
  </si>
  <si>
    <t xml:space="preserve">Se metal powder</t>
  </si>
  <si>
    <t xml:space="preserve">LeadFoil</t>
  </si>
  <si>
    <t xml:space="preserve">Pb foil</t>
  </si>
  <si>
    <t xml:space="preserve">BismuthOxide</t>
  </si>
  <si>
    <t xml:space="preserve">Bi2O3</t>
  </si>
  <si>
    <t xml:space="preserve">BromophenolBlue</t>
  </si>
  <si>
    <t xml:space="preserve">C19H10Br4O5S</t>
  </si>
  <si>
    <t xml:space="preserve">powder on Kapton tape</t>
  </si>
  <si>
    <t xml:space="preserve">sample courtesy Alesandra Leri, Marymount Manhatten College</t>
  </si>
  <si>
    <t xml:space="preserve">RubidiumCarbonate</t>
  </si>
  <si>
    <t xml:space="preserve">Rb</t>
  </si>
  <si>
    <t xml:space="preserve">RbCO3</t>
  </si>
  <si>
    <t xml:space="preserve">StrontiumTitanate</t>
  </si>
  <si>
    <t xml:space="preserve">BiO2</t>
  </si>
  <si>
    <t xml:space="preserve">YttriumOxide</t>
  </si>
  <si>
    <t xml:space="preserve">ZirconiumFoil</t>
  </si>
  <si>
    <t xml:space="preserve">Zr foil</t>
  </si>
  <si>
    <t xml:space="preserve">Niobiumfoil</t>
  </si>
  <si>
    <t xml:space="preserve">Nb foil</t>
  </si>
  <si>
    <t xml:space="preserve">MolybdenumFoil</t>
  </si>
  <si>
    <t xml:space="preserve">Mo foil</t>
  </si>
  <si>
    <t xml:space="preserve">RutheniumOxide</t>
  </si>
  <si>
    <t xml:space="preserve">Ru</t>
  </si>
  <si>
    <t xml:space="preserve">RuO2</t>
  </si>
  <si>
    <t xml:space="preserve">Current</t>
  </si>
  <si>
    <t xml:space="preserve">Version</t>
  </si>
  <si>
    <t xml:space="preserve">Notes</t>
  </si>
  <si>
    <t xml:space="preserve">Initial version</t>
  </si>
  <si>
    <t xml:space="preserve">more functionality</t>
  </si>
  <si>
    <t xml:space="preserve">Added detector X and ancillary information columns</t>
  </si>
  <si>
    <t xml:space="preserve">Cell identifying target instrument</t>
  </si>
  <si>
    <t xml:space="preserve">Cell identifying spreadsheet version number</t>
  </si>
  <si>
    <t xml:space="preserve">Linkam, double wheel, added Ca ans Sc to element column validity</t>
  </si>
  <si>
    <t xml:space="preserve">Added motor grid automation, 3 empty tabs in each template</t>
  </si>
  <si>
    <t xml:space="preserve">Added LakeShore 331</t>
  </si>
  <si>
    <t xml:space="preserve">Loop over entire macro</t>
  </si>
  <si>
    <t xml:space="preserve">add slit height to glancing angle spreadsheet</t>
  </si>
  <si>
    <t xml:space="preserve">add a third motor to the grid spreadsheet</t>
  </si>
  <si>
    <t xml:space="preserve">added orientation and retraction distance to glancing angle spreadsheet</t>
  </si>
  <si>
    <t xml:space="preserve">add columns for sample X/Y + slit W/H to all spreadsheet types, also remove “Change edge at start?” + deprecate e0 column + deprecate single wheel spreadsheet</t>
  </si>
  <si>
    <t xml:space="preserve">remove experimenters cell, 5 tabs in template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</si>
</sst>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TRUE&quot;;&quot;TRUE&quot;;&quot;FALSE&quot;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DDDDDD"/>
      <name val="Arial"/>
      <family val="2"/>
      <charset val="1"/>
    </font>
    <font>
      <b val="true"/>
      <sz val="13"/>
      <name val="Arial"/>
      <family val="2"/>
      <charset val="1"/>
    </font>
    <font>
      <sz val="10"/>
      <name val="Times New Roman"/>
      <family val="1"/>
      <charset val="1"/>
    </font>
    <font>
      <sz val="10"/>
      <color rgb="FF2E3436"/>
      <name val="Times New Roman"/>
      <family val="1"/>
      <charset val="1"/>
    </font>
    <font>
      <sz val="10"/>
      <color rgb="FF2E3436"/>
      <name val="Noto San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99FF"/>
        <bgColor rgb="FFE0C2CD"/>
      </patternFill>
    </fill>
    <fill>
      <patternFill patternType="solid">
        <fgColor rgb="FFCCFF66"/>
        <bgColor rgb="FFFFFF00"/>
      </patternFill>
    </fill>
    <fill>
      <patternFill patternType="solid">
        <fgColor rgb="FFE0C2CD"/>
        <bgColor rgb="FFCCCCCC"/>
      </patternFill>
    </fill>
    <fill>
      <patternFill patternType="solid">
        <fgColor rgb="FFFFDBB6"/>
        <bgColor rgb="FFFFF5CE"/>
      </patternFill>
    </fill>
    <fill>
      <patternFill patternType="solid">
        <fgColor rgb="FFCCCCCC"/>
        <bgColor rgb="FFE0C2CD"/>
      </patternFill>
    </fill>
    <fill>
      <patternFill patternType="solid">
        <fgColor rgb="FFFFF5CE"/>
        <bgColor rgb="FFFFFFD7"/>
      </patternFill>
    </fill>
    <fill>
      <patternFill patternType="solid">
        <fgColor rgb="FFFFFFD7"/>
        <bgColor rgb="FFFFF5CE"/>
      </patternFill>
    </fill>
    <fill>
      <patternFill patternType="solid">
        <fgColor rgb="FFDEDCE6"/>
        <bgColor rgb="FFDDDDDD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>
        <color rgb="FFCCCCCC"/>
      </right>
      <top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hair"/>
      <right style="thin">
        <color rgb="FFCCCCCC"/>
      </right>
      <top style="thin">
        <color rgb="FFCCCCCC"/>
      </top>
      <bottom/>
      <diagonal/>
    </border>
    <border diagonalUp="false" diagonalDown="false">
      <left/>
      <right style="thin">
        <color rgb="FFCCCCCC"/>
      </right>
      <top style="thin">
        <color rgb="FFCCCCCC"/>
      </top>
      <bottom/>
      <diagonal/>
    </border>
    <border diagonalUp="false" diagonalDown="false">
      <left/>
      <right style="thin"/>
      <top style="thin">
        <color rgb="FFCCCCCC"/>
      </top>
      <bottom/>
      <diagonal/>
    </border>
    <border diagonalUp="false" diagonalDown="false">
      <left style="thin"/>
      <right/>
      <top style="thin">
        <color rgb="FFCCCCCC"/>
      </top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>
        <color rgb="FFCCCCCC"/>
      </bottom>
      <diagonal/>
    </border>
    <border diagonalUp="true" diagonalDown="true">
      <left style="thin"/>
      <right/>
      <top style="thin">
        <color rgb="FFCCCCCC"/>
      </top>
      <bottom style="thin">
        <color rgb="FFCCCCCC"/>
      </bottom>
      <diagonal style="medium"/>
    </border>
    <border diagonalUp="true" diagonalDown="true">
      <left/>
      <right/>
      <top/>
      <bottom/>
      <diagonal style="medium"/>
    </border>
    <border diagonalUp="true" diagonalDown="true">
      <left style="thin">
        <color rgb="FFCCCCCC"/>
      </left>
      <right style="thin"/>
      <top style="thin">
        <color rgb="FFCCCCCC"/>
      </top>
      <bottom style="thin">
        <color rgb="FFCCCCCC"/>
      </bottom>
      <diagonal style="medium"/>
    </border>
    <border diagonalUp="false" diagonalDown="false">
      <left style="hair"/>
      <right style="thin"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9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5C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CCFF66"/>
      <rgbColor rgb="FF99CCFF"/>
      <rgbColor rgb="FFFF99FF"/>
      <rgbColor rgb="FFE0C2CD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5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6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314280</xdr:colOff>
      <xdr:row>54</xdr:row>
      <xdr:rowOff>32400</xdr:rowOff>
    </xdr:from>
    <xdr:to>
      <xdr:col>7</xdr:col>
      <xdr:colOff>39960</xdr:colOff>
      <xdr:row>65</xdr:row>
      <xdr:rowOff>66240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657080" y="11943000"/>
          <a:ext cx="3206880" cy="1821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25200</xdr:colOff>
      <xdr:row>30</xdr:row>
      <xdr:rowOff>28800</xdr:rowOff>
    </xdr:from>
    <xdr:to>
      <xdr:col>7</xdr:col>
      <xdr:colOff>855360</xdr:colOff>
      <xdr:row>43</xdr:row>
      <xdr:rowOff>161640</xdr:rowOff>
    </xdr:to>
    <xdr:pic>
      <xdr:nvPicPr>
        <xdr:cNvPr id="1" name="Image 4" descr=""/>
        <xdr:cNvPicPr/>
      </xdr:nvPicPr>
      <xdr:blipFill>
        <a:blip r:embed="rId1"/>
        <a:stretch/>
      </xdr:blipFill>
      <xdr:spPr>
        <a:xfrm>
          <a:off x="2074320" y="7088040"/>
          <a:ext cx="3605040" cy="2246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25200</xdr:colOff>
      <xdr:row>30</xdr:row>
      <xdr:rowOff>28800</xdr:rowOff>
    </xdr:from>
    <xdr:to>
      <xdr:col>7</xdr:col>
      <xdr:colOff>855360</xdr:colOff>
      <xdr:row>43</xdr:row>
      <xdr:rowOff>162000</xdr:rowOff>
    </xdr:to>
    <xdr:pic>
      <xdr:nvPicPr>
        <xdr:cNvPr id="2" name="Image 4" descr=""/>
        <xdr:cNvPicPr/>
      </xdr:nvPicPr>
      <xdr:blipFill>
        <a:blip r:embed="rId1"/>
        <a:stretch/>
      </xdr:blipFill>
      <xdr:spPr>
        <a:xfrm>
          <a:off x="2074320" y="5591880"/>
          <a:ext cx="3605040" cy="22464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D9" activeCellId="1" sqref="N25 D9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  <c r="X1" s="5"/>
      <c r="Y1" s="5"/>
      <c r="Z1" s="5"/>
      <c r="AA1" s="5"/>
      <c r="AB1" s="5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49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50" t="n">
        <v>1</v>
      </c>
      <c r="C7" s="51" t="s">
        <v>45</v>
      </c>
      <c r="D7" s="52" t="s">
        <v>3</v>
      </c>
      <c r="E7" s="52" t="s">
        <v>3</v>
      </c>
      <c r="F7" s="53" t="s">
        <v>58</v>
      </c>
      <c r="G7" s="13"/>
      <c r="H7" s="13"/>
      <c r="I7" s="13"/>
      <c r="J7" s="54"/>
      <c r="K7" s="55"/>
      <c r="L7" s="50"/>
      <c r="M7" s="56" t="s">
        <v>59</v>
      </c>
      <c r="N7" s="53"/>
      <c r="O7" s="57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50" t="n">
        <v>2</v>
      </c>
      <c r="C8" s="51" t="s">
        <v>45</v>
      </c>
      <c r="D8" s="52" t="s">
        <v>3</v>
      </c>
      <c r="E8" s="52" t="s">
        <v>3</v>
      </c>
      <c r="F8" s="53" t="s">
        <v>60</v>
      </c>
      <c r="G8" s="13"/>
      <c r="H8" s="13"/>
      <c r="I8" s="13"/>
      <c r="J8" s="54"/>
      <c r="K8" s="55"/>
      <c r="L8" s="50"/>
      <c r="M8" s="56" t="s">
        <v>61</v>
      </c>
      <c r="N8" s="53"/>
      <c r="O8" s="57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50" t="n">
        <v>3</v>
      </c>
      <c r="C9" s="51" t="s">
        <v>45</v>
      </c>
      <c r="D9" s="52" t="s">
        <v>62</v>
      </c>
      <c r="E9" s="52" t="s">
        <v>3</v>
      </c>
      <c r="F9" s="29" t="s">
        <v>63</v>
      </c>
      <c r="G9" s="13"/>
      <c r="H9" s="13"/>
      <c r="I9" s="13"/>
      <c r="J9" s="54"/>
      <c r="K9" s="55"/>
      <c r="L9" s="50"/>
      <c r="M9" s="56" t="s">
        <v>64</v>
      </c>
      <c r="N9" s="53"/>
      <c r="O9" s="57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50" t="n">
        <v>4</v>
      </c>
      <c r="C10" s="51" t="s">
        <v>45</v>
      </c>
      <c r="D10" s="52" t="s">
        <v>3</v>
      </c>
      <c r="E10" s="52" t="s">
        <v>3</v>
      </c>
      <c r="F10" s="29" t="s">
        <v>65</v>
      </c>
      <c r="G10" s="13"/>
      <c r="H10" s="13"/>
      <c r="I10" s="13"/>
      <c r="J10" s="54"/>
      <c r="K10" s="55"/>
      <c r="L10" s="50"/>
      <c r="M10" s="56" t="s">
        <v>66</v>
      </c>
      <c r="N10" s="53" t="s">
        <v>67</v>
      </c>
      <c r="O10" s="57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6.4" hidden="false" customHeight="true" outlineLevel="0" collapsed="false">
      <c r="B11" s="50" t="n">
        <v>5</v>
      </c>
      <c r="C11" s="51" t="s">
        <v>45</v>
      </c>
      <c r="D11" s="52" t="s">
        <v>3</v>
      </c>
      <c r="E11" s="52" t="s">
        <v>3</v>
      </c>
      <c r="F11" s="29" t="s">
        <v>68</v>
      </c>
      <c r="G11" s="13"/>
      <c r="H11" s="13"/>
      <c r="I11" s="13"/>
      <c r="J11" s="54"/>
      <c r="K11" s="55"/>
      <c r="L11" s="50"/>
      <c r="M11" s="56" t="s">
        <v>69</v>
      </c>
      <c r="N11" s="53" t="s">
        <v>67</v>
      </c>
      <c r="O11" s="57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6.4" hidden="false" customHeight="true" outlineLevel="0" collapsed="false">
      <c r="B12" s="50" t="n">
        <v>6</v>
      </c>
      <c r="C12" s="51" t="s">
        <v>45</v>
      </c>
      <c r="D12" s="52" t="s">
        <v>3</v>
      </c>
      <c r="E12" s="52" t="s">
        <v>3</v>
      </c>
      <c r="F12" s="29" t="s">
        <v>70</v>
      </c>
      <c r="G12" s="13"/>
      <c r="H12" s="13"/>
      <c r="I12" s="13"/>
      <c r="J12" s="54"/>
      <c r="K12" s="55"/>
      <c r="L12" s="50"/>
      <c r="M12" s="56" t="s">
        <v>71</v>
      </c>
      <c r="N12" s="53"/>
      <c r="O12" s="57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6.4" hidden="false" customHeight="true" outlineLevel="0" collapsed="false">
      <c r="B13" s="50" t="n">
        <v>7</v>
      </c>
      <c r="C13" s="51" t="s">
        <v>45</v>
      </c>
      <c r="D13" s="52" t="s">
        <v>3</v>
      </c>
      <c r="E13" s="52" t="s">
        <v>3</v>
      </c>
      <c r="F13" s="29" t="s">
        <v>72</v>
      </c>
      <c r="G13" s="13"/>
      <c r="H13" s="13"/>
      <c r="I13" s="13"/>
      <c r="J13" s="54"/>
      <c r="K13" s="55"/>
      <c r="L13" s="50"/>
      <c r="M13" s="56" t="s">
        <v>73</v>
      </c>
      <c r="N13" s="53"/>
      <c r="O13" s="57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6.4" hidden="false" customHeight="true" outlineLevel="0" collapsed="false">
      <c r="B14" s="50" t="n">
        <v>8</v>
      </c>
      <c r="C14" s="51" t="s">
        <v>45</v>
      </c>
      <c r="D14" s="52" t="s">
        <v>3</v>
      </c>
      <c r="E14" s="52" t="s">
        <v>3</v>
      </c>
      <c r="F14" s="29" t="s">
        <v>74</v>
      </c>
      <c r="G14" s="13"/>
      <c r="H14" s="13"/>
      <c r="I14" s="13"/>
      <c r="J14" s="54"/>
      <c r="K14" s="55"/>
      <c r="L14" s="50"/>
      <c r="M14" s="56" t="s">
        <v>75</v>
      </c>
      <c r="N14" s="53"/>
      <c r="O14" s="57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6.4" hidden="false" customHeight="true" outlineLevel="0" collapsed="false">
      <c r="B15" s="50" t="n">
        <v>9</v>
      </c>
      <c r="C15" s="51" t="s">
        <v>45</v>
      </c>
      <c r="D15" s="52" t="s">
        <v>3</v>
      </c>
      <c r="E15" s="52" t="s">
        <v>3</v>
      </c>
      <c r="F15" s="29" t="s">
        <v>76</v>
      </c>
      <c r="G15" s="13"/>
      <c r="H15" s="13"/>
      <c r="I15" s="13"/>
      <c r="J15" s="54"/>
      <c r="K15" s="55"/>
      <c r="L15" s="50"/>
      <c r="M15" s="56" t="s">
        <v>77</v>
      </c>
      <c r="N15" s="53" t="s">
        <v>78</v>
      </c>
      <c r="O15" s="57" t="s">
        <v>79</v>
      </c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6.4" hidden="false" customHeight="true" outlineLevel="0" collapsed="false">
      <c r="B16" s="50" t="n">
        <v>10</v>
      </c>
      <c r="C16" s="51" t="s">
        <v>45</v>
      </c>
      <c r="D16" s="52" t="s">
        <v>3</v>
      </c>
      <c r="E16" s="52" t="s">
        <v>3</v>
      </c>
      <c r="F16" s="29" t="s">
        <v>80</v>
      </c>
      <c r="G16" s="13"/>
      <c r="H16" s="13"/>
      <c r="I16" s="13"/>
      <c r="J16" s="54"/>
      <c r="K16" s="55"/>
      <c r="L16" s="50"/>
      <c r="M16" s="56" t="s">
        <v>81</v>
      </c>
      <c r="N16" s="53" t="s">
        <v>78</v>
      </c>
      <c r="O16" s="57" t="s">
        <v>79</v>
      </c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6.4" hidden="false" customHeight="true" outlineLevel="0" collapsed="false">
      <c r="B17" s="50" t="n">
        <v>11</v>
      </c>
      <c r="C17" s="51" t="s">
        <v>45</v>
      </c>
      <c r="D17" s="52" t="s">
        <v>3</v>
      </c>
      <c r="E17" s="52" t="s">
        <v>3</v>
      </c>
      <c r="F17" s="29" t="s">
        <v>82</v>
      </c>
      <c r="G17" s="13"/>
      <c r="H17" s="13"/>
      <c r="I17" s="13"/>
      <c r="J17" s="54"/>
      <c r="K17" s="55"/>
      <c r="L17" s="50"/>
      <c r="M17" s="29" t="s">
        <v>82</v>
      </c>
      <c r="N17" s="53" t="s">
        <v>78</v>
      </c>
      <c r="O17" s="57" t="s">
        <v>79</v>
      </c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6.4" hidden="false" customHeight="true" outlineLevel="0" collapsed="false">
      <c r="B18" s="50" t="n">
        <v>12</v>
      </c>
      <c r="C18" s="51" t="s">
        <v>45</v>
      </c>
      <c r="D18" s="52" t="s">
        <v>3</v>
      </c>
      <c r="E18" s="52" t="s">
        <v>3</v>
      </c>
      <c r="F18" s="29" t="s">
        <v>83</v>
      </c>
      <c r="G18" s="13"/>
      <c r="H18" s="13"/>
      <c r="I18" s="13"/>
      <c r="J18" s="54"/>
      <c r="K18" s="55"/>
      <c r="L18" s="50"/>
      <c r="M18" s="29" t="s">
        <v>83</v>
      </c>
      <c r="N18" s="53" t="s">
        <v>78</v>
      </c>
      <c r="O18" s="57" t="s">
        <v>79</v>
      </c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50" t="n">
        <v>13</v>
      </c>
      <c r="C19" s="51" t="s">
        <v>45</v>
      </c>
      <c r="D19" s="52" t="s">
        <v>3</v>
      </c>
      <c r="E19" s="52" t="s">
        <v>3</v>
      </c>
      <c r="F19" s="29" t="s">
        <v>84</v>
      </c>
      <c r="G19" s="13"/>
      <c r="H19" s="13"/>
      <c r="I19" s="13"/>
      <c r="J19" s="54"/>
      <c r="K19" s="55"/>
      <c r="L19" s="50"/>
      <c r="M19" s="29" t="s">
        <v>84</v>
      </c>
      <c r="N19" s="53" t="s">
        <v>78</v>
      </c>
      <c r="O19" s="57" t="s">
        <v>79</v>
      </c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6.4" hidden="false" customHeight="true" outlineLevel="0" collapsed="false">
      <c r="B20" s="50" t="n">
        <v>14</v>
      </c>
      <c r="C20" s="51" t="s">
        <v>45</v>
      </c>
      <c r="D20" s="52" t="s">
        <v>3</v>
      </c>
      <c r="E20" s="52" t="s">
        <v>3</v>
      </c>
      <c r="F20" s="29" t="s">
        <v>85</v>
      </c>
      <c r="G20" s="13"/>
      <c r="H20" s="13"/>
      <c r="I20" s="13"/>
      <c r="J20" s="54"/>
      <c r="K20" s="55"/>
      <c r="L20" s="50"/>
      <c r="M20" s="29" t="s">
        <v>85</v>
      </c>
      <c r="N20" s="53" t="s">
        <v>78</v>
      </c>
      <c r="O20" s="57" t="s">
        <v>79</v>
      </c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50" t="n">
        <v>15</v>
      </c>
      <c r="C21" s="51" t="s">
        <v>45</v>
      </c>
      <c r="D21" s="52" t="s">
        <v>3</v>
      </c>
      <c r="E21" s="29"/>
      <c r="F21" s="13"/>
      <c r="G21" s="13"/>
      <c r="H21" s="13"/>
      <c r="I21" s="54"/>
      <c r="J21" s="55"/>
      <c r="K21" s="50"/>
      <c r="L21" s="64"/>
      <c r="M21" s="53"/>
      <c r="N21" s="57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50" t="n">
        <v>16</v>
      </c>
      <c r="C22" s="51" t="s">
        <v>45</v>
      </c>
      <c r="D22" s="52" t="s">
        <v>3</v>
      </c>
      <c r="E22" s="29"/>
      <c r="F22" s="13"/>
      <c r="G22" s="13"/>
      <c r="H22" s="13"/>
      <c r="I22" s="54"/>
      <c r="J22" s="55"/>
      <c r="K22" s="50"/>
      <c r="L22" s="64"/>
      <c r="M22" s="53"/>
      <c r="N22" s="57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50" t="n">
        <v>17</v>
      </c>
      <c r="C23" s="51" t="s">
        <v>45</v>
      </c>
      <c r="D23" s="52" t="s">
        <v>3</v>
      </c>
      <c r="E23" s="29"/>
      <c r="F23" s="13"/>
      <c r="G23" s="13"/>
      <c r="H23" s="13"/>
      <c r="I23" s="54"/>
      <c r="J23" s="55"/>
      <c r="K23" s="50"/>
      <c r="L23" s="64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50" t="n">
        <v>18</v>
      </c>
      <c r="C24" s="51" t="s">
        <v>45</v>
      </c>
      <c r="D24" s="52" t="s">
        <v>3</v>
      </c>
      <c r="E24" s="29"/>
      <c r="F24" s="13"/>
      <c r="G24" s="13"/>
      <c r="H24" s="13"/>
      <c r="I24" s="54"/>
      <c r="J24" s="55"/>
      <c r="K24" s="50"/>
      <c r="L24" s="64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6.4" hidden="false" customHeight="true" outlineLevel="0" collapsed="false">
      <c r="B25" s="50" t="n">
        <v>19</v>
      </c>
      <c r="C25" s="51" t="s">
        <v>45</v>
      </c>
      <c r="D25" s="52" t="s">
        <v>3</v>
      </c>
      <c r="E25" s="29"/>
      <c r="F25" s="13"/>
      <c r="G25" s="13"/>
      <c r="H25" s="13"/>
      <c r="I25" s="54"/>
      <c r="J25" s="55"/>
      <c r="K25" s="50"/>
      <c r="L25" s="64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6.4" hidden="false" customHeight="true" outlineLevel="0" collapsed="false">
      <c r="B26" s="50" t="n">
        <v>20</v>
      </c>
      <c r="C26" s="51" t="s">
        <v>45</v>
      </c>
      <c r="D26" s="52" t="s">
        <v>3</v>
      </c>
      <c r="E26" s="29"/>
      <c r="F26" s="13"/>
      <c r="G26" s="13"/>
      <c r="H26" s="13"/>
      <c r="I26" s="54"/>
      <c r="J26" s="55"/>
      <c r="K26" s="50"/>
      <c r="L26" s="64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6.4" hidden="false" customHeight="true" outlineLevel="0" collapsed="false">
      <c r="B27" s="50" t="n">
        <v>21</v>
      </c>
      <c r="C27" s="51" t="s">
        <v>45</v>
      </c>
      <c r="D27" s="52" t="s">
        <v>3</v>
      </c>
      <c r="E27" s="29"/>
      <c r="F27" s="13"/>
      <c r="G27" s="13"/>
      <c r="H27" s="13"/>
      <c r="I27" s="54"/>
      <c r="J27" s="55"/>
      <c r="K27" s="50"/>
      <c r="L27" s="64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50" t="n">
        <v>22</v>
      </c>
      <c r="C28" s="51" t="s">
        <v>45</v>
      </c>
      <c r="D28" s="52" t="s">
        <v>3</v>
      </c>
      <c r="E28" s="29"/>
      <c r="F28" s="13"/>
      <c r="G28" s="13"/>
      <c r="H28" s="13"/>
      <c r="I28" s="54"/>
      <c r="J28" s="55"/>
      <c r="K28" s="50"/>
      <c r="L28" s="64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50" t="n">
        <v>23</v>
      </c>
      <c r="C29" s="51" t="s">
        <v>45</v>
      </c>
      <c r="D29" s="52" t="s">
        <v>3</v>
      </c>
      <c r="E29" s="29"/>
      <c r="F29" s="13"/>
      <c r="G29" s="13"/>
      <c r="H29" s="13"/>
      <c r="I29" s="54"/>
      <c r="J29" s="55"/>
      <c r="K29" s="50"/>
      <c r="L29" s="64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50" t="n">
        <v>24</v>
      </c>
      <c r="C30" s="51" t="s">
        <v>45</v>
      </c>
      <c r="D30" s="52" t="s">
        <v>3</v>
      </c>
      <c r="E30" s="29"/>
      <c r="F30" s="13"/>
      <c r="G30" s="13"/>
      <c r="H30" s="13"/>
      <c r="I30" s="54"/>
      <c r="J30" s="55"/>
      <c r="K30" s="50"/>
      <c r="L30" s="64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13.25" hidden="false" customHeight="false" outlineLevel="0" collapsed="false">
      <c r="B31" s="50" t="n">
        <v>1</v>
      </c>
      <c r="C31" s="51" t="s">
        <v>86</v>
      </c>
      <c r="D31" s="52" t="s">
        <v>3</v>
      </c>
      <c r="E31" s="53"/>
      <c r="F31" s="13"/>
      <c r="G31" s="13"/>
      <c r="H31" s="13"/>
      <c r="I31" s="54"/>
      <c r="J31" s="55"/>
      <c r="K31" s="50"/>
      <c r="L31" s="64"/>
      <c r="M31" s="53"/>
      <c r="N31" s="57"/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13.25" hidden="false" customHeight="false" outlineLevel="0" collapsed="false">
      <c r="B32" s="50" t="n">
        <v>2</v>
      </c>
      <c r="C32" s="51" t="s">
        <v>86</v>
      </c>
      <c r="D32" s="52" t="s">
        <v>3</v>
      </c>
      <c r="E32" s="53"/>
      <c r="F32" s="13"/>
      <c r="G32" s="13"/>
      <c r="H32" s="13"/>
      <c r="I32" s="54"/>
      <c r="J32" s="55"/>
      <c r="K32" s="50"/>
      <c r="L32" s="64"/>
      <c r="M32" s="53"/>
      <c r="N32" s="57"/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13.25" hidden="false" customHeight="false" outlineLevel="0" collapsed="false">
      <c r="B33" s="50" t="n">
        <v>3</v>
      </c>
      <c r="C33" s="51" t="s">
        <v>86</v>
      </c>
      <c r="D33" s="52" t="s">
        <v>3</v>
      </c>
      <c r="E33" s="29"/>
      <c r="F33" s="13"/>
      <c r="G33" s="13"/>
      <c r="H33" s="13"/>
      <c r="I33" s="54"/>
      <c r="J33" s="55"/>
      <c r="K33" s="50"/>
      <c r="L33" s="64"/>
      <c r="M33" s="53"/>
      <c r="N33" s="57"/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13.25" hidden="false" customHeight="false" outlineLevel="0" collapsed="false">
      <c r="B34" s="50" t="n">
        <v>4</v>
      </c>
      <c r="C34" s="51" t="s">
        <v>86</v>
      </c>
      <c r="D34" s="52" t="s">
        <v>3</v>
      </c>
      <c r="E34" s="29"/>
      <c r="F34" s="13"/>
      <c r="G34" s="13"/>
      <c r="H34" s="13"/>
      <c r="I34" s="54"/>
      <c r="J34" s="55"/>
      <c r="K34" s="50"/>
      <c r="L34" s="64"/>
      <c r="M34" s="53"/>
      <c r="N34" s="57"/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13.25" hidden="false" customHeight="false" outlineLevel="0" collapsed="false">
      <c r="B35" s="50" t="n">
        <v>5</v>
      </c>
      <c r="C35" s="51" t="s">
        <v>86</v>
      </c>
      <c r="D35" s="52" t="s">
        <v>3</v>
      </c>
      <c r="E35" s="29"/>
      <c r="F35" s="13"/>
      <c r="G35" s="13"/>
      <c r="H35" s="13"/>
      <c r="I35" s="54"/>
      <c r="J35" s="55"/>
      <c r="K35" s="50"/>
      <c r="L35" s="64"/>
      <c r="M35" s="53"/>
      <c r="N35" s="57"/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13.25" hidden="false" customHeight="false" outlineLevel="0" collapsed="false">
      <c r="B36" s="50" t="n">
        <v>6</v>
      </c>
      <c r="C36" s="51" t="s">
        <v>86</v>
      </c>
      <c r="D36" s="52" t="s">
        <v>3</v>
      </c>
      <c r="E36" s="29"/>
      <c r="F36" s="13"/>
      <c r="G36" s="13"/>
      <c r="H36" s="13"/>
      <c r="I36" s="54"/>
      <c r="J36" s="55"/>
      <c r="K36" s="50"/>
      <c r="L36" s="64"/>
      <c r="M36" s="53"/>
      <c r="N36" s="57"/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13.25" hidden="false" customHeight="false" outlineLevel="0" collapsed="false">
      <c r="B37" s="50" t="n">
        <v>7</v>
      </c>
      <c r="C37" s="51" t="s">
        <v>86</v>
      </c>
      <c r="D37" s="52" t="s">
        <v>3</v>
      </c>
      <c r="E37" s="29"/>
      <c r="F37" s="13"/>
      <c r="G37" s="13"/>
      <c r="H37" s="13"/>
      <c r="I37" s="54"/>
      <c r="J37" s="55"/>
      <c r="K37" s="50"/>
      <c r="L37" s="64"/>
      <c r="M37" s="53"/>
      <c r="N37" s="57"/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13.25" hidden="false" customHeight="false" outlineLevel="0" collapsed="false">
      <c r="B38" s="50" t="n">
        <v>8</v>
      </c>
      <c r="C38" s="51" t="s">
        <v>86</v>
      </c>
      <c r="D38" s="52" t="s">
        <v>3</v>
      </c>
      <c r="E38" s="29"/>
      <c r="F38" s="13"/>
      <c r="G38" s="13"/>
      <c r="H38" s="13"/>
      <c r="I38" s="54"/>
      <c r="J38" s="55"/>
      <c r="K38" s="50"/>
      <c r="L38" s="64"/>
      <c r="M38" s="53"/>
      <c r="N38" s="57"/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13.25" hidden="false" customHeight="false" outlineLevel="0" collapsed="false">
      <c r="B39" s="50" t="n">
        <v>9</v>
      </c>
      <c r="C39" s="51" t="s">
        <v>86</v>
      </c>
      <c r="D39" s="52" t="s">
        <v>3</v>
      </c>
      <c r="E39" s="29"/>
      <c r="F39" s="13"/>
      <c r="G39" s="13"/>
      <c r="H39" s="13"/>
      <c r="I39" s="54"/>
      <c r="J39" s="55"/>
      <c r="K39" s="50"/>
      <c r="L39" s="64"/>
      <c r="M39" s="53"/>
      <c r="N39" s="57"/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13.25" hidden="false" customHeight="false" outlineLevel="0" collapsed="false">
      <c r="B40" s="50" t="n">
        <v>10</v>
      </c>
      <c r="C40" s="51" t="s">
        <v>86</v>
      </c>
      <c r="D40" s="52" t="s">
        <v>3</v>
      </c>
      <c r="E40" s="29"/>
      <c r="F40" s="13"/>
      <c r="G40" s="13"/>
      <c r="H40" s="13"/>
      <c r="I40" s="54"/>
      <c r="J40" s="55"/>
      <c r="K40" s="50"/>
      <c r="L40" s="64"/>
      <c r="M40" s="53"/>
      <c r="N40" s="57"/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13.25" hidden="false" customHeight="false" outlineLevel="0" collapsed="false">
      <c r="B41" s="50" t="n">
        <v>11</v>
      </c>
      <c r="C41" s="51" t="s">
        <v>86</v>
      </c>
      <c r="D41" s="52" t="s">
        <v>3</v>
      </c>
      <c r="E41" s="29"/>
      <c r="F41" s="13"/>
      <c r="G41" s="13"/>
      <c r="H41" s="13"/>
      <c r="I41" s="54"/>
      <c r="J41" s="55"/>
      <c r="K41" s="50"/>
      <c r="L41" s="64"/>
      <c r="M41" s="53"/>
      <c r="N41" s="57"/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13.25" hidden="false" customHeight="false" outlineLevel="0" collapsed="false">
      <c r="B42" s="50" t="n">
        <v>12</v>
      </c>
      <c r="C42" s="51" t="s">
        <v>86</v>
      </c>
      <c r="D42" s="52" t="s">
        <v>3</v>
      </c>
      <c r="E42" s="29"/>
      <c r="F42" s="13"/>
      <c r="G42" s="13"/>
      <c r="H42" s="13"/>
      <c r="I42" s="54"/>
      <c r="J42" s="55"/>
      <c r="K42" s="50"/>
      <c r="L42" s="64"/>
      <c r="M42" s="53"/>
      <c r="N42" s="57"/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13.25" hidden="false" customHeight="false" outlineLevel="0" collapsed="false">
      <c r="B43" s="50" t="n">
        <v>13</v>
      </c>
      <c r="C43" s="51" t="s">
        <v>86</v>
      </c>
      <c r="D43" s="52" t="s">
        <v>3</v>
      </c>
      <c r="E43" s="29"/>
      <c r="F43" s="13"/>
      <c r="G43" s="13"/>
      <c r="H43" s="13"/>
      <c r="I43" s="54"/>
      <c r="J43" s="55"/>
      <c r="K43" s="50"/>
      <c r="L43" s="64"/>
      <c r="M43" s="53"/>
      <c r="N43" s="57"/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13.25" hidden="false" customHeight="false" outlineLevel="0" collapsed="false">
      <c r="B44" s="50" t="n">
        <v>14</v>
      </c>
      <c r="C44" s="51" t="s">
        <v>86</v>
      </c>
      <c r="D44" s="52" t="s">
        <v>3</v>
      </c>
      <c r="E44" s="29"/>
      <c r="F44" s="13"/>
      <c r="G44" s="13"/>
      <c r="H44" s="13"/>
      <c r="I44" s="54"/>
      <c r="J44" s="55"/>
      <c r="K44" s="50"/>
      <c r="L44" s="64"/>
      <c r="M44" s="53"/>
      <c r="N44" s="57"/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13.25" hidden="false" customHeight="false" outlineLevel="0" collapsed="false">
      <c r="B45" s="50" t="n">
        <v>15</v>
      </c>
      <c r="C45" s="51" t="s">
        <v>86</v>
      </c>
      <c r="D45" s="52" t="s">
        <v>3</v>
      </c>
      <c r="E45" s="29"/>
      <c r="F45" s="13"/>
      <c r="G45" s="13"/>
      <c r="H45" s="13"/>
      <c r="I45" s="54"/>
      <c r="J45" s="55"/>
      <c r="K45" s="50"/>
      <c r="L45" s="64"/>
      <c r="M45" s="53"/>
      <c r="N45" s="57"/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50" t="n">
        <v>16</v>
      </c>
      <c r="C46" s="51" t="s">
        <v>86</v>
      </c>
      <c r="D46" s="52" t="s">
        <v>3</v>
      </c>
      <c r="E46" s="29"/>
      <c r="F46" s="13"/>
      <c r="G46" s="13"/>
      <c r="H46" s="13"/>
      <c r="I46" s="54"/>
      <c r="J46" s="55"/>
      <c r="K46" s="50"/>
      <c r="L46" s="64"/>
      <c r="M46" s="53"/>
      <c r="N46" s="57"/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13.25" hidden="false" customHeight="false" outlineLevel="0" collapsed="false">
      <c r="B47" s="50" t="n">
        <v>17</v>
      </c>
      <c r="C47" s="51" t="s">
        <v>86</v>
      </c>
      <c r="D47" s="52" t="s">
        <v>3</v>
      </c>
      <c r="E47" s="29"/>
      <c r="F47" s="13"/>
      <c r="G47" s="13"/>
      <c r="H47" s="13"/>
      <c r="I47" s="54"/>
      <c r="J47" s="55"/>
      <c r="K47" s="50"/>
      <c r="L47" s="64"/>
      <c r="M47" s="53"/>
      <c r="N47" s="57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13.25" hidden="false" customHeight="false" outlineLevel="0" collapsed="false">
      <c r="B48" s="50" t="n">
        <v>18</v>
      </c>
      <c r="C48" s="51" t="s">
        <v>86</v>
      </c>
      <c r="D48" s="52" t="s">
        <v>3</v>
      </c>
      <c r="E48" s="29"/>
      <c r="F48" s="13"/>
      <c r="G48" s="13"/>
      <c r="H48" s="13"/>
      <c r="I48" s="54"/>
      <c r="J48" s="55"/>
      <c r="K48" s="50"/>
      <c r="L48" s="64"/>
      <c r="M48" s="53"/>
      <c r="N48" s="57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13.25" hidden="false" customHeight="false" outlineLevel="0" collapsed="false">
      <c r="B49" s="50" t="n">
        <v>19</v>
      </c>
      <c r="C49" s="51" t="s">
        <v>86</v>
      </c>
      <c r="D49" s="52" t="s">
        <v>3</v>
      </c>
      <c r="E49" s="29" t="s">
        <v>87</v>
      </c>
      <c r="F49" s="13"/>
      <c r="G49" s="13"/>
      <c r="H49" s="13"/>
      <c r="I49" s="54"/>
      <c r="J49" s="55"/>
      <c r="K49" s="50"/>
      <c r="L49" s="56" t="s">
        <v>88</v>
      </c>
      <c r="M49" s="53"/>
      <c r="N49" s="57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50" t="n">
        <v>20</v>
      </c>
      <c r="C50" s="51" t="s">
        <v>86</v>
      </c>
      <c r="D50" s="52" t="s">
        <v>3</v>
      </c>
      <c r="E50" s="29"/>
      <c r="F50" s="13"/>
      <c r="G50" s="13"/>
      <c r="H50" s="13"/>
      <c r="I50" s="54"/>
      <c r="J50" s="55"/>
      <c r="K50" s="50"/>
      <c r="L50" s="64"/>
      <c r="M50" s="53"/>
      <c r="N50" s="57"/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13.25" hidden="false" customHeight="false" outlineLevel="0" collapsed="false">
      <c r="B51" s="50" t="n">
        <v>21</v>
      </c>
      <c r="C51" s="51" t="s">
        <v>86</v>
      </c>
      <c r="D51" s="52" t="s">
        <v>3</v>
      </c>
      <c r="E51" s="29"/>
      <c r="F51" s="13"/>
      <c r="G51" s="13"/>
      <c r="H51" s="13"/>
      <c r="I51" s="54"/>
      <c r="J51" s="55"/>
      <c r="K51" s="50"/>
      <c r="L51" s="64"/>
      <c r="M51" s="53"/>
      <c r="N51" s="57"/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13.25" hidden="false" customHeight="false" outlineLevel="0" collapsed="false">
      <c r="B52" s="50" t="n">
        <v>22</v>
      </c>
      <c r="C52" s="51" t="s">
        <v>86</v>
      </c>
      <c r="D52" s="52" t="s">
        <v>3</v>
      </c>
      <c r="E52" s="29"/>
      <c r="F52" s="13"/>
      <c r="G52" s="13"/>
      <c r="H52" s="13"/>
      <c r="I52" s="54"/>
      <c r="J52" s="55"/>
      <c r="K52" s="50"/>
      <c r="L52" s="64"/>
      <c r="M52" s="53"/>
      <c r="N52" s="57"/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13.25" hidden="false" customHeight="false" outlineLevel="0" collapsed="false">
      <c r="B53" s="50" t="n">
        <v>23</v>
      </c>
      <c r="C53" s="51" t="s">
        <v>86</v>
      </c>
      <c r="D53" s="52" t="s">
        <v>3</v>
      </c>
      <c r="E53" s="29"/>
      <c r="F53" s="13"/>
      <c r="G53" s="13"/>
      <c r="H53" s="13"/>
      <c r="I53" s="54"/>
      <c r="J53" s="55"/>
      <c r="K53" s="50"/>
      <c r="L53" s="64"/>
      <c r="M53" s="29"/>
      <c r="N53" s="57"/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13.25" hidden="false" customHeight="false" outlineLevel="0" collapsed="false">
      <c r="B54" s="50" t="n">
        <v>24</v>
      </c>
      <c r="C54" s="51" t="s">
        <v>86</v>
      </c>
      <c r="D54" s="52" t="s">
        <v>3</v>
      </c>
      <c r="E54" s="29"/>
      <c r="F54" s="13"/>
      <c r="G54" s="13"/>
      <c r="H54" s="13"/>
      <c r="I54" s="54"/>
      <c r="J54" s="55"/>
      <c r="K54" s="50"/>
      <c r="L54" s="64"/>
      <c r="M54" s="29"/>
      <c r="N54" s="57"/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4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 J21:J48 J50:J54" type="list">
      <formula1>"K,L3,L2,L1"</formula1>
      <formula2>0</formula2>
    </dataValidation>
    <dataValidation allowBlank="true" operator="equal" showDropDown="false" showErrorMessage="true" showInputMessage="false" sqref="K6 K21:K48 K50:K54" type="list">
      <formula1>"unfocused,focused"</formula1>
      <formula2>0</formula2>
    </dataValidation>
    <dataValidation allowBlank="true" operator="between" showDropDown="false" showErrorMessage="true" showInputMessage="false" sqref="F6 F21:F48 F50:F54" type="whole">
      <formula1>0</formula1>
      <formula2>1000</formula2>
    </dataValidation>
    <dataValidation allowBlank="true" operator="between" showDropDown="false" showErrorMessage="true" showInputMessage="false" sqref="B7:B48 B50:B54" type="whole">
      <formula1>1</formula1>
      <formula2>24</formula2>
    </dataValidation>
    <dataValidation allowBlank="true" operator="equal" showDropDown="false" showErrorMessage="true" showInputMessage="false" sqref="K2 D6:D48 D50:D54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:C48 C50:C54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21:H48 H50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21:I48 I50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E7:E20 D49" type="list">
      <formula1>"Yes,No"</formula1>
      <formula2>0</formula2>
    </dataValidation>
    <dataValidation allowBlank="true" operator="between" showDropDown="false" showErrorMessage="true" showInputMessage="false" sqref="G7:G20 F49" type="whole">
      <formula1>0</formula1>
      <formula2>1000</formula2>
    </dataValidation>
    <dataValidation allowBlank="true" operator="equal" showDropDown="false" showErrorMessage="true" showInputMessage="false" sqref="I7:I20 H49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J7:J20 I49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K7:K20 J49" type="list">
      <formula1>"K,L3,L2,L1"</formula1>
      <formula2>0</formula2>
    </dataValidation>
    <dataValidation allowBlank="true" operator="equal" showDropDown="false" showErrorMessage="true" showInputMessage="false" sqref="L7:L20 K49" type="list">
      <formula1>"unfocused,focused"</formula1>
      <formula2>0</formula2>
    </dataValidation>
    <dataValidation allowBlank="true" operator="between" showDropDown="false" showErrorMessage="true" showInputMessage="false" sqref="B49" type="whole">
      <formula1>1</formula1>
      <formula2>24</formula2>
    </dataValidation>
    <dataValidation allowBlank="true" operator="equal" showDropDown="false" showErrorMessage="true" showInputMessage="false" sqref="C49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I6" activeCellId="1" sqref="N25 I6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89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50" t="n">
        <v>1</v>
      </c>
      <c r="C7" s="51" t="s">
        <v>45</v>
      </c>
      <c r="D7" s="52" t="s">
        <v>3</v>
      </c>
      <c r="E7" s="53" t="s">
        <v>90</v>
      </c>
      <c r="F7" s="13"/>
      <c r="G7" s="13"/>
      <c r="H7" s="13"/>
      <c r="I7" s="54"/>
      <c r="J7" s="55"/>
      <c r="K7" s="50"/>
      <c r="L7" s="56" t="s">
        <v>91</v>
      </c>
      <c r="M7" s="53" t="s">
        <v>53</v>
      </c>
      <c r="N7" s="57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50" t="n">
        <v>2</v>
      </c>
      <c r="C8" s="51" t="s">
        <v>45</v>
      </c>
      <c r="D8" s="52" t="s">
        <v>3</v>
      </c>
      <c r="E8" s="53" t="s">
        <v>92</v>
      </c>
      <c r="F8" s="13"/>
      <c r="G8" s="13"/>
      <c r="H8" s="13"/>
      <c r="I8" s="54"/>
      <c r="J8" s="55"/>
      <c r="K8" s="50"/>
      <c r="L8" s="56" t="s">
        <v>93</v>
      </c>
      <c r="M8" s="53" t="s">
        <v>53</v>
      </c>
      <c r="N8" s="57"/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50" t="n">
        <v>3</v>
      </c>
      <c r="C9" s="51" t="s">
        <v>45</v>
      </c>
      <c r="D9" s="52" t="s">
        <v>62</v>
      </c>
      <c r="E9" s="29" t="s">
        <v>94</v>
      </c>
      <c r="F9" s="13"/>
      <c r="G9" s="13"/>
      <c r="H9" s="13"/>
      <c r="I9" s="54"/>
      <c r="J9" s="55"/>
      <c r="K9" s="50"/>
      <c r="L9" s="56" t="s">
        <v>95</v>
      </c>
      <c r="M9" s="53"/>
      <c r="N9" s="57"/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50" t="n">
        <v>4</v>
      </c>
      <c r="C10" s="51" t="s">
        <v>45</v>
      </c>
      <c r="D10" s="52" t="s">
        <v>3</v>
      </c>
      <c r="E10" s="29" t="s">
        <v>96</v>
      </c>
      <c r="F10" s="13"/>
      <c r="G10" s="13"/>
      <c r="H10" s="13"/>
      <c r="I10" s="54"/>
      <c r="J10" s="55"/>
      <c r="K10" s="50"/>
      <c r="L10" s="56" t="s">
        <v>97</v>
      </c>
      <c r="M10" s="53" t="s">
        <v>53</v>
      </c>
      <c r="N10" s="57"/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6.4" hidden="false" customHeight="true" outlineLevel="0" collapsed="false">
      <c r="B11" s="50" t="n">
        <v>5</v>
      </c>
      <c r="C11" s="51" t="s">
        <v>45</v>
      </c>
      <c r="D11" s="52" t="s">
        <v>3</v>
      </c>
      <c r="E11" s="29" t="s">
        <v>98</v>
      </c>
      <c r="F11" s="13"/>
      <c r="G11" s="13"/>
      <c r="H11" s="13"/>
      <c r="I11" s="54"/>
      <c r="J11" s="55"/>
      <c r="K11" s="50"/>
      <c r="L11" s="56" t="s">
        <v>99</v>
      </c>
      <c r="M11" s="53" t="s">
        <v>53</v>
      </c>
      <c r="N11" s="57"/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6.4" hidden="false" customHeight="true" outlineLevel="0" collapsed="false">
      <c r="B12" s="50" t="n">
        <v>6</v>
      </c>
      <c r="C12" s="51" t="s">
        <v>45</v>
      </c>
      <c r="D12" s="52" t="s">
        <v>3</v>
      </c>
      <c r="E12" s="29" t="s">
        <v>100</v>
      </c>
      <c r="F12" s="13"/>
      <c r="G12" s="13"/>
      <c r="H12" s="13"/>
      <c r="I12" s="54"/>
      <c r="J12" s="55"/>
      <c r="K12" s="50"/>
      <c r="L12" s="56" t="s">
        <v>101</v>
      </c>
      <c r="M12" s="53" t="s">
        <v>53</v>
      </c>
      <c r="N12" s="57"/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6.4" hidden="false" customHeight="true" outlineLevel="0" collapsed="false">
      <c r="B13" s="50" t="n">
        <v>7</v>
      </c>
      <c r="C13" s="51" t="s">
        <v>45</v>
      </c>
      <c r="D13" s="52" t="s">
        <v>3</v>
      </c>
      <c r="E13" s="29" t="s">
        <v>102</v>
      </c>
      <c r="F13" s="13"/>
      <c r="G13" s="13"/>
      <c r="H13" s="13"/>
      <c r="I13" s="54"/>
      <c r="J13" s="55"/>
      <c r="K13" s="50"/>
      <c r="L13" s="56" t="s">
        <v>103</v>
      </c>
      <c r="M13" s="53" t="s">
        <v>53</v>
      </c>
      <c r="N13" s="57"/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6.4" hidden="false" customHeight="true" outlineLevel="0" collapsed="false">
      <c r="B14" s="50" t="n">
        <v>8</v>
      </c>
      <c r="C14" s="51" t="s">
        <v>45</v>
      </c>
      <c r="D14" s="52" t="s">
        <v>3</v>
      </c>
      <c r="E14" s="29" t="s">
        <v>104</v>
      </c>
      <c r="F14" s="13"/>
      <c r="G14" s="13"/>
      <c r="H14" s="13"/>
      <c r="I14" s="54"/>
      <c r="J14" s="55"/>
      <c r="K14" s="50"/>
      <c r="L14" s="56" t="s">
        <v>105</v>
      </c>
      <c r="M14" s="53" t="s">
        <v>53</v>
      </c>
      <c r="N14" s="57"/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6.4" hidden="false" customHeight="true" outlineLevel="0" collapsed="false">
      <c r="B15" s="50" t="n">
        <v>9</v>
      </c>
      <c r="C15" s="51" t="s">
        <v>45</v>
      </c>
      <c r="D15" s="52" t="s">
        <v>3</v>
      </c>
      <c r="E15" s="29" t="s">
        <v>106</v>
      </c>
      <c r="F15" s="13"/>
      <c r="G15" s="13"/>
      <c r="H15" s="13"/>
      <c r="I15" s="54"/>
      <c r="J15" s="55"/>
      <c r="K15" s="50"/>
      <c r="L15" s="56" t="s">
        <v>107</v>
      </c>
      <c r="M15" s="53" t="s">
        <v>108</v>
      </c>
      <c r="N15" s="57" t="s">
        <v>79</v>
      </c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6.4" hidden="false" customHeight="true" outlineLevel="0" collapsed="false">
      <c r="B16" s="50" t="n">
        <v>10</v>
      </c>
      <c r="C16" s="51" t="s">
        <v>45</v>
      </c>
      <c r="D16" s="52" t="s">
        <v>3</v>
      </c>
      <c r="E16" s="29" t="s">
        <v>109</v>
      </c>
      <c r="F16" s="13"/>
      <c r="G16" s="13"/>
      <c r="H16" s="13"/>
      <c r="I16" s="54"/>
      <c r="J16" s="55"/>
      <c r="K16" s="50"/>
      <c r="L16" s="56" t="s">
        <v>110</v>
      </c>
      <c r="M16" s="53" t="s">
        <v>108</v>
      </c>
      <c r="N16" s="57" t="s">
        <v>79</v>
      </c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6.4" hidden="false" customHeight="true" outlineLevel="0" collapsed="false">
      <c r="B17" s="50" t="n">
        <v>11</v>
      </c>
      <c r="C17" s="51" t="s">
        <v>45</v>
      </c>
      <c r="D17" s="52" t="s">
        <v>3</v>
      </c>
      <c r="E17" s="29" t="s">
        <v>111</v>
      </c>
      <c r="F17" s="13"/>
      <c r="G17" s="13"/>
      <c r="H17" s="13"/>
      <c r="I17" s="54"/>
      <c r="J17" s="55"/>
      <c r="K17" s="50"/>
      <c r="L17" s="56" t="s">
        <v>112</v>
      </c>
      <c r="M17" s="53" t="s">
        <v>108</v>
      </c>
      <c r="N17" s="57" t="s">
        <v>79</v>
      </c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6.4" hidden="false" customHeight="true" outlineLevel="0" collapsed="false">
      <c r="B18" s="50" t="n">
        <v>12</v>
      </c>
      <c r="C18" s="51" t="s">
        <v>45</v>
      </c>
      <c r="D18" s="52" t="s">
        <v>3</v>
      </c>
      <c r="E18" s="29" t="s">
        <v>113</v>
      </c>
      <c r="F18" s="13"/>
      <c r="G18" s="13"/>
      <c r="H18" s="13"/>
      <c r="I18" s="54"/>
      <c r="J18" s="55"/>
      <c r="K18" s="50"/>
      <c r="L18" s="56" t="s">
        <v>114</v>
      </c>
      <c r="M18" s="53" t="s">
        <v>108</v>
      </c>
      <c r="N18" s="57" t="s">
        <v>79</v>
      </c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50" t="n">
        <v>13</v>
      </c>
      <c r="C19" s="51" t="s">
        <v>45</v>
      </c>
      <c r="D19" s="52" t="s">
        <v>3</v>
      </c>
      <c r="E19" s="29" t="s">
        <v>115</v>
      </c>
      <c r="F19" s="13"/>
      <c r="G19" s="13"/>
      <c r="H19" s="13"/>
      <c r="I19" s="54"/>
      <c r="J19" s="55"/>
      <c r="K19" s="50"/>
      <c r="L19" s="56" t="s">
        <v>116</v>
      </c>
      <c r="M19" s="53" t="s">
        <v>108</v>
      </c>
      <c r="N19" s="57" t="s">
        <v>79</v>
      </c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6.4" hidden="false" customHeight="true" outlineLevel="0" collapsed="false">
      <c r="B20" s="50" t="n">
        <v>14</v>
      </c>
      <c r="C20" s="51" t="s">
        <v>45</v>
      </c>
      <c r="D20" s="52" t="s">
        <v>3</v>
      </c>
      <c r="E20" s="29" t="s">
        <v>117</v>
      </c>
      <c r="F20" s="13"/>
      <c r="G20" s="13"/>
      <c r="H20" s="13"/>
      <c r="I20" s="54"/>
      <c r="J20" s="55"/>
      <c r="K20" s="50"/>
      <c r="L20" s="56" t="s">
        <v>118</v>
      </c>
      <c r="M20" s="53" t="s">
        <v>108</v>
      </c>
      <c r="N20" s="57" t="s">
        <v>79</v>
      </c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50" t="n">
        <v>15</v>
      </c>
      <c r="C21" s="51" t="s">
        <v>45</v>
      </c>
      <c r="D21" s="52" t="s">
        <v>3</v>
      </c>
      <c r="E21" s="29" t="s">
        <v>119</v>
      </c>
      <c r="F21" s="13"/>
      <c r="G21" s="13"/>
      <c r="H21" s="13"/>
      <c r="I21" s="54"/>
      <c r="J21" s="55"/>
      <c r="K21" s="50"/>
      <c r="L21" s="56" t="s">
        <v>120</v>
      </c>
      <c r="M21" s="53" t="s">
        <v>108</v>
      </c>
      <c r="N21" s="57" t="s">
        <v>79</v>
      </c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50" t="n">
        <v>16</v>
      </c>
      <c r="C22" s="51" t="s">
        <v>45</v>
      </c>
      <c r="D22" s="52" t="s">
        <v>3</v>
      </c>
      <c r="E22" s="29" t="s">
        <v>121</v>
      </c>
      <c r="F22" s="13"/>
      <c r="G22" s="13"/>
      <c r="H22" s="13"/>
      <c r="I22" s="54"/>
      <c r="J22" s="55"/>
      <c r="K22" s="50"/>
      <c r="L22" s="0" t="s">
        <v>122</v>
      </c>
      <c r="M22" s="53" t="s">
        <v>108</v>
      </c>
      <c r="N22" s="57" t="s">
        <v>79</v>
      </c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50" t="n">
        <v>17</v>
      </c>
      <c r="C23" s="51" t="s">
        <v>45</v>
      </c>
      <c r="D23" s="52" t="s">
        <v>3</v>
      </c>
      <c r="E23" s="29" t="s">
        <v>123</v>
      </c>
      <c r="F23" s="13"/>
      <c r="G23" s="13"/>
      <c r="H23" s="13"/>
      <c r="I23" s="54"/>
      <c r="J23" s="55"/>
      <c r="K23" s="50"/>
      <c r="L23" s="56" t="s">
        <v>124</v>
      </c>
      <c r="M23" s="53" t="s">
        <v>108</v>
      </c>
      <c r="N23" s="57" t="s">
        <v>79</v>
      </c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50" t="n">
        <v>18</v>
      </c>
      <c r="C24" s="51" t="s">
        <v>45</v>
      </c>
      <c r="D24" s="52" t="s">
        <v>3</v>
      </c>
      <c r="E24" s="29" t="s">
        <v>125</v>
      </c>
      <c r="F24" s="13"/>
      <c r="G24" s="13"/>
      <c r="H24" s="13"/>
      <c r="I24" s="54"/>
      <c r="J24" s="55"/>
      <c r="K24" s="50"/>
      <c r="L24" s="56" t="s">
        <v>126</v>
      </c>
      <c r="M24" s="53" t="s">
        <v>108</v>
      </c>
      <c r="N24" s="57" t="s">
        <v>79</v>
      </c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6.4" hidden="false" customHeight="true" outlineLevel="0" collapsed="false">
      <c r="B25" s="50" t="n">
        <v>19</v>
      </c>
      <c r="C25" s="51" t="s">
        <v>45</v>
      </c>
      <c r="D25" s="52" t="s">
        <v>62</v>
      </c>
      <c r="E25" s="29" t="s">
        <v>127</v>
      </c>
      <c r="F25" s="13"/>
      <c r="G25" s="13"/>
      <c r="H25" s="13"/>
      <c r="I25" s="54"/>
      <c r="J25" s="55"/>
      <c r="K25" s="50"/>
      <c r="L25" s="56" t="s">
        <v>128</v>
      </c>
      <c r="M25" s="53" t="s">
        <v>108</v>
      </c>
      <c r="N25" s="57" t="s">
        <v>79</v>
      </c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6.4" hidden="false" customHeight="true" outlineLevel="0" collapsed="false">
      <c r="B26" s="50" t="n">
        <v>20</v>
      </c>
      <c r="C26" s="51" t="s">
        <v>45</v>
      </c>
      <c r="D26" s="52" t="s">
        <v>62</v>
      </c>
      <c r="E26" s="29" t="s">
        <v>129</v>
      </c>
      <c r="F26" s="13"/>
      <c r="G26" s="13"/>
      <c r="H26" s="13"/>
      <c r="I26" s="54"/>
      <c r="J26" s="55"/>
      <c r="K26" s="50"/>
      <c r="L26" s="29" t="s">
        <v>130</v>
      </c>
      <c r="M26" s="53" t="s">
        <v>108</v>
      </c>
      <c r="N26" s="57" t="s">
        <v>79</v>
      </c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6.4" hidden="false" customHeight="true" outlineLevel="0" collapsed="false">
      <c r="B27" s="50" t="n">
        <v>21</v>
      </c>
      <c r="C27" s="51" t="s">
        <v>45</v>
      </c>
      <c r="D27" s="52" t="s">
        <v>62</v>
      </c>
      <c r="E27" s="29"/>
      <c r="F27" s="13"/>
      <c r="G27" s="13"/>
      <c r="H27" s="13"/>
      <c r="I27" s="54"/>
      <c r="J27" s="55"/>
      <c r="K27" s="50"/>
      <c r="L27" s="56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50" t="n">
        <v>22</v>
      </c>
      <c r="C28" s="51" t="s">
        <v>45</v>
      </c>
      <c r="D28" s="52" t="s">
        <v>62</v>
      </c>
      <c r="E28" s="29"/>
      <c r="F28" s="13"/>
      <c r="G28" s="13"/>
      <c r="H28" s="13"/>
      <c r="I28" s="54"/>
      <c r="J28" s="55"/>
      <c r="K28" s="50"/>
      <c r="L28" s="56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50" t="n">
        <v>23</v>
      </c>
      <c r="C29" s="51" t="s">
        <v>45</v>
      </c>
      <c r="D29" s="52" t="s">
        <v>62</v>
      </c>
      <c r="E29" s="29"/>
      <c r="F29" s="13"/>
      <c r="G29" s="13"/>
      <c r="H29" s="13"/>
      <c r="I29" s="54"/>
      <c r="J29" s="55"/>
      <c r="K29" s="50"/>
      <c r="L29" s="56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50" t="n">
        <v>24</v>
      </c>
      <c r="C30" s="51" t="s">
        <v>45</v>
      </c>
      <c r="D30" s="52" t="s">
        <v>62</v>
      </c>
      <c r="E30" s="29"/>
      <c r="F30" s="13"/>
      <c r="G30" s="13"/>
      <c r="H30" s="13"/>
      <c r="I30" s="54"/>
      <c r="J30" s="55"/>
      <c r="K30" s="50"/>
      <c r="L30" s="56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13.25" hidden="false" customHeight="false" outlineLevel="0" collapsed="false">
      <c r="B31" s="50" t="n">
        <v>1</v>
      </c>
      <c r="C31" s="51" t="s">
        <v>86</v>
      </c>
      <c r="D31" s="52" t="s">
        <v>62</v>
      </c>
      <c r="E31" s="53"/>
      <c r="F31" s="13"/>
      <c r="G31" s="13"/>
      <c r="H31" s="13"/>
      <c r="I31" s="54"/>
      <c r="J31" s="55"/>
      <c r="K31" s="50"/>
      <c r="L31" s="56"/>
      <c r="M31" s="53"/>
      <c r="N31" s="57"/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13.25" hidden="false" customHeight="false" outlineLevel="0" collapsed="false">
      <c r="B32" s="50" t="n">
        <v>2</v>
      </c>
      <c r="C32" s="51" t="s">
        <v>86</v>
      </c>
      <c r="D32" s="52" t="s">
        <v>3</v>
      </c>
      <c r="E32" s="53" t="s">
        <v>131</v>
      </c>
      <c r="F32" s="13"/>
      <c r="G32" s="13"/>
      <c r="H32" s="13"/>
      <c r="I32" s="54"/>
      <c r="J32" s="55"/>
      <c r="K32" s="50"/>
      <c r="L32" s="56" t="s">
        <v>132</v>
      </c>
      <c r="M32" s="53" t="s">
        <v>108</v>
      </c>
      <c r="N32" s="57" t="s">
        <v>79</v>
      </c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13.25" hidden="false" customHeight="false" outlineLevel="0" collapsed="false">
      <c r="B33" s="50" t="n">
        <v>3</v>
      </c>
      <c r="C33" s="51" t="s">
        <v>86</v>
      </c>
      <c r="D33" s="52" t="s">
        <v>3</v>
      </c>
      <c r="E33" s="29" t="s">
        <v>133</v>
      </c>
      <c r="F33" s="13"/>
      <c r="G33" s="13"/>
      <c r="H33" s="13"/>
      <c r="I33" s="54"/>
      <c r="J33" s="55"/>
      <c r="K33" s="50"/>
      <c r="L33" s="56" t="s">
        <v>134</v>
      </c>
      <c r="M33" s="53" t="s">
        <v>108</v>
      </c>
      <c r="N33" s="57" t="s">
        <v>79</v>
      </c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13.25" hidden="false" customHeight="false" outlineLevel="0" collapsed="false">
      <c r="B34" s="50" t="n">
        <v>4</v>
      </c>
      <c r="C34" s="51" t="s">
        <v>86</v>
      </c>
      <c r="D34" s="52" t="s">
        <v>3</v>
      </c>
      <c r="E34" s="29" t="s">
        <v>135</v>
      </c>
      <c r="F34" s="13"/>
      <c r="G34" s="13"/>
      <c r="H34" s="13"/>
      <c r="I34" s="54"/>
      <c r="J34" s="55"/>
      <c r="K34" s="50"/>
      <c r="L34" s="56" t="s">
        <v>136</v>
      </c>
      <c r="M34" s="53" t="s">
        <v>108</v>
      </c>
      <c r="N34" s="57" t="s">
        <v>79</v>
      </c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13.25" hidden="false" customHeight="false" outlineLevel="0" collapsed="false">
      <c r="B35" s="50" t="n">
        <v>5</v>
      </c>
      <c r="C35" s="51" t="s">
        <v>86</v>
      </c>
      <c r="D35" s="52" t="s">
        <v>3</v>
      </c>
      <c r="E35" s="29" t="s">
        <v>137</v>
      </c>
      <c r="F35" s="13"/>
      <c r="G35" s="13"/>
      <c r="H35" s="13"/>
      <c r="I35" s="54"/>
      <c r="J35" s="55"/>
      <c r="K35" s="50"/>
      <c r="L35" s="56" t="s">
        <v>138</v>
      </c>
      <c r="M35" s="53" t="s">
        <v>108</v>
      </c>
      <c r="N35" s="57" t="s">
        <v>79</v>
      </c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13.25" hidden="false" customHeight="false" outlineLevel="0" collapsed="false">
      <c r="B36" s="50" t="n">
        <v>6</v>
      </c>
      <c r="C36" s="51" t="s">
        <v>86</v>
      </c>
      <c r="D36" s="52" t="s">
        <v>3</v>
      </c>
      <c r="E36" s="29" t="s">
        <v>139</v>
      </c>
      <c r="F36" s="13"/>
      <c r="G36" s="13"/>
      <c r="H36" s="13"/>
      <c r="I36" s="54"/>
      <c r="J36" s="55"/>
      <c r="K36" s="50"/>
      <c r="L36" s="56" t="s">
        <v>140</v>
      </c>
      <c r="M36" s="53" t="s">
        <v>108</v>
      </c>
      <c r="N36" s="57" t="s">
        <v>79</v>
      </c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13.25" hidden="false" customHeight="false" outlineLevel="0" collapsed="false">
      <c r="B37" s="50" t="n">
        <v>7</v>
      </c>
      <c r="C37" s="51" t="s">
        <v>86</v>
      </c>
      <c r="D37" s="52" t="s">
        <v>3</v>
      </c>
      <c r="E37" s="29" t="s">
        <v>141</v>
      </c>
      <c r="F37" s="13"/>
      <c r="G37" s="13"/>
      <c r="H37" s="13"/>
      <c r="I37" s="54"/>
      <c r="J37" s="55"/>
      <c r="K37" s="50"/>
      <c r="L37" s="56" t="s">
        <v>142</v>
      </c>
      <c r="M37" s="53" t="s">
        <v>108</v>
      </c>
      <c r="N37" s="57" t="s">
        <v>79</v>
      </c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13.25" hidden="false" customHeight="false" outlineLevel="0" collapsed="false">
      <c r="B38" s="50" t="n">
        <v>8</v>
      </c>
      <c r="C38" s="51" t="s">
        <v>86</v>
      </c>
      <c r="D38" s="52" t="s">
        <v>3</v>
      </c>
      <c r="E38" s="0" t="s">
        <v>143</v>
      </c>
      <c r="F38" s="13"/>
      <c r="G38" s="13"/>
      <c r="H38" s="13"/>
      <c r="I38" s="54"/>
      <c r="J38" s="55"/>
      <c r="K38" s="50"/>
      <c r="L38" s="29" t="s">
        <v>144</v>
      </c>
      <c r="M38" s="53" t="s">
        <v>108</v>
      </c>
      <c r="N38" s="57" t="s">
        <v>79</v>
      </c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13.25" hidden="false" customHeight="false" outlineLevel="0" collapsed="false">
      <c r="B39" s="50" t="n">
        <v>9</v>
      </c>
      <c r="C39" s="51" t="s">
        <v>86</v>
      </c>
      <c r="D39" s="52" t="s">
        <v>3</v>
      </c>
      <c r="E39" s="29" t="s">
        <v>145</v>
      </c>
      <c r="F39" s="13"/>
      <c r="G39" s="13"/>
      <c r="H39" s="13"/>
      <c r="I39" s="54"/>
      <c r="J39" s="55"/>
      <c r="K39" s="50"/>
      <c r="L39" s="56" t="s">
        <v>146</v>
      </c>
      <c r="M39" s="53" t="s">
        <v>108</v>
      </c>
      <c r="N39" s="57" t="s">
        <v>79</v>
      </c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13.25" hidden="false" customHeight="false" outlineLevel="0" collapsed="false">
      <c r="B40" s="50" t="n">
        <v>10</v>
      </c>
      <c r="C40" s="51" t="s">
        <v>86</v>
      </c>
      <c r="D40" s="52" t="s">
        <v>3</v>
      </c>
      <c r="E40" s="29" t="s">
        <v>147</v>
      </c>
      <c r="F40" s="13"/>
      <c r="G40" s="13"/>
      <c r="H40" s="13"/>
      <c r="I40" s="54"/>
      <c r="J40" s="55"/>
      <c r="K40" s="50"/>
      <c r="L40" s="56" t="s">
        <v>148</v>
      </c>
      <c r="M40" s="53" t="s">
        <v>108</v>
      </c>
      <c r="N40" s="57" t="s">
        <v>79</v>
      </c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13.25" hidden="false" customHeight="false" outlineLevel="0" collapsed="false">
      <c r="B41" s="50" t="n">
        <v>11</v>
      </c>
      <c r="C41" s="51" t="s">
        <v>86</v>
      </c>
      <c r="D41" s="52" t="s">
        <v>3</v>
      </c>
      <c r="E41" s="29" t="s">
        <v>149</v>
      </c>
      <c r="F41" s="13"/>
      <c r="G41" s="13"/>
      <c r="H41" s="13"/>
      <c r="I41" s="54"/>
      <c r="J41" s="55"/>
      <c r="K41" s="50"/>
      <c r="L41" s="56" t="s">
        <v>150</v>
      </c>
      <c r="M41" s="53" t="s">
        <v>108</v>
      </c>
      <c r="N41" s="57" t="s">
        <v>79</v>
      </c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13.25" hidden="false" customHeight="false" outlineLevel="0" collapsed="false">
      <c r="B42" s="50" t="n">
        <v>12</v>
      </c>
      <c r="C42" s="51" t="s">
        <v>86</v>
      </c>
      <c r="D42" s="52" t="s">
        <v>3</v>
      </c>
      <c r="E42" s="0" t="s">
        <v>151</v>
      </c>
      <c r="F42" s="13"/>
      <c r="G42" s="13"/>
      <c r="H42" s="13"/>
      <c r="I42" s="54"/>
      <c r="J42" s="55"/>
      <c r="K42" s="50"/>
      <c r="L42" s="29" t="s">
        <v>152</v>
      </c>
      <c r="M42" s="53" t="s">
        <v>108</v>
      </c>
      <c r="N42" s="57" t="s">
        <v>79</v>
      </c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13.25" hidden="false" customHeight="false" outlineLevel="0" collapsed="false">
      <c r="B43" s="50" t="n">
        <v>13</v>
      </c>
      <c r="C43" s="51" t="s">
        <v>86</v>
      </c>
      <c r="D43" s="52" t="s">
        <v>3</v>
      </c>
      <c r="E43" s="29" t="s">
        <v>153</v>
      </c>
      <c r="F43" s="13"/>
      <c r="G43" s="13"/>
      <c r="H43" s="13"/>
      <c r="I43" s="54"/>
      <c r="J43" s="55"/>
      <c r="K43" s="50"/>
      <c r="L43" s="56" t="s">
        <v>154</v>
      </c>
      <c r="M43" s="53" t="s">
        <v>108</v>
      </c>
      <c r="N43" s="57" t="s">
        <v>79</v>
      </c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13.25" hidden="false" customHeight="false" outlineLevel="0" collapsed="false">
      <c r="B44" s="50" t="n">
        <v>14</v>
      </c>
      <c r="C44" s="51" t="s">
        <v>86</v>
      </c>
      <c r="D44" s="52" t="s">
        <v>3</v>
      </c>
      <c r="E44" s="29" t="s">
        <v>155</v>
      </c>
      <c r="F44" s="13"/>
      <c r="G44" s="13"/>
      <c r="H44" s="13"/>
      <c r="I44" s="54"/>
      <c r="J44" s="55"/>
      <c r="K44" s="50"/>
      <c r="L44" s="56" t="s">
        <v>156</v>
      </c>
      <c r="M44" s="53" t="s">
        <v>108</v>
      </c>
      <c r="N44" s="57" t="s">
        <v>79</v>
      </c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13.25" hidden="false" customHeight="false" outlineLevel="0" collapsed="false">
      <c r="B45" s="50" t="n">
        <v>15</v>
      </c>
      <c r="C45" s="51" t="s">
        <v>86</v>
      </c>
      <c r="D45" s="52" t="s">
        <v>3</v>
      </c>
      <c r="E45" s="29" t="s">
        <v>157</v>
      </c>
      <c r="F45" s="13"/>
      <c r="G45" s="13"/>
      <c r="H45" s="13"/>
      <c r="I45" s="54"/>
      <c r="J45" s="55"/>
      <c r="K45" s="50"/>
      <c r="L45" s="56" t="s">
        <v>158</v>
      </c>
      <c r="M45" s="53" t="s">
        <v>108</v>
      </c>
      <c r="N45" s="57" t="s">
        <v>79</v>
      </c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50" t="n">
        <v>16</v>
      </c>
      <c r="C46" s="51" t="s">
        <v>86</v>
      </c>
      <c r="D46" s="52" t="s">
        <v>62</v>
      </c>
      <c r="E46" s="65" t="s">
        <v>159</v>
      </c>
      <c r="F46" s="66"/>
      <c r="G46" s="66"/>
      <c r="H46" s="66"/>
      <c r="I46" s="67"/>
      <c r="J46" s="68"/>
      <c r="K46" s="69"/>
      <c r="L46" s="70" t="s">
        <v>159</v>
      </c>
      <c r="M46" s="71" t="s">
        <v>53</v>
      </c>
      <c r="N46" s="72" t="s">
        <v>160</v>
      </c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13.25" hidden="false" customHeight="false" outlineLevel="0" collapsed="false">
      <c r="B47" s="50" t="n">
        <v>17</v>
      </c>
      <c r="C47" s="51" t="s">
        <v>86</v>
      </c>
      <c r="D47" s="52" t="s">
        <v>62</v>
      </c>
      <c r="E47" s="29"/>
      <c r="F47" s="13"/>
      <c r="G47" s="13"/>
      <c r="H47" s="13"/>
      <c r="I47" s="54"/>
      <c r="J47" s="55"/>
      <c r="K47" s="50"/>
      <c r="L47" s="56"/>
      <c r="M47" s="53"/>
      <c r="N47" s="57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13.25" hidden="false" customHeight="false" outlineLevel="0" collapsed="false">
      <c r="B48" s="50" t="n">
        <v>18</v>
      </c>
      <c r="C48" s="51" t="s">
        <v>86</v>
      </c>
      <c r="D48" s="52" t="s">
        <v>62</v>
      </c>
      <c r="E48" s="29"/>
      <c r="F48" s="13"/>
      <c r="G48" s="13"/>
      <c r="H48" s="13"/>
      <c r="I48" s="54"/>
      <c r="J48" s="55"/>
      <c r="K48" s="50"/>
      <c r="L48" s="56"/>
      <c r="M48" s="53"/>
      <c r="N48" s="57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13.25" hidden="false" customHeight="false" outlineLevel="0" collapsed="false">
      <c r="B49" s="50" t="n">
        <v>19</v>
      </c>
      <c r="C49" s="51" t="s">
        <v>86</v>
      </c>
      <c r="D49" s="52" t="s">
        <v>62</v>
      </c>
      <c r="E49" s="29"/>
      <c r="F49" s="13"/>
      <c r="G49" s="13"/>
      <c r="H49" s="13"/>
      <c r="I49" s="54"/>
      <c r="J49" s="55"/>
      <c r="K49" s="50"/>
      <c r="L49" s="56"/>
      <c r="M49" s="53"/>
      <c r="N49" s="57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50" t="n">
        <v>20</v>
      </c>
      <c r="C50" s="51" t="s">
        <v>86</v>
      </c>
      <c r="D50" s="52" t="s">
        <v>62</v>
      </c>
      <c r="E50" s="29"/>
      <c r="F50" s="13"/>
      <c r="G50" s="13"/>
      <c r="H50" s="13"/>
      <c r="I50" s="54"/>
      <c r="J50" s="55"/>
      <c r="K50" s="50"/>
      <c r="L50" s="56"/>
      <c r="M50" s="53"/>
      <c r="N50" s="57"/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13.25" hidden="false" customHeight="false" outlineLevel="0" collapsed="false">
      <c r="B51" s="50" t="n">
        <v>21</v>
      </c>
      <c r="C51" s="51" t="s">
        <v>86</v>
      </c>
      <c r="D51" s="52" t="s">
        <v>62</v>
      </c>
      <c r="E51" s="29"/>
      <c r="F51" s="13"/>
      <c r="G51" s="13"/>
      <c r="H51" s="13"/>
      <c r="I51" s="54"/>
      <c r="J51" s="55"/>
      <c r="K51" s="50"/>
      <c r="L51" s="56"/>
      <c r="M51" s="53"/>
      <c r="N51" s="57"/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13.25" hidden="false" customHeight="false" outlineLevel="0" collapsed="false">
      <c r="B52" s="50" t="n">
        <v>22</v>
      </c>
      <c r="C52" s="51" t="s">
        <v>86</v>
      </c>
      <c r="D52" s="52" t="s">
        <v>62</v>
      </c>
      <c r="E52" s="29"/>
      <c r="F52" s="13"/>
      <c r="G52" s="13"/>
      <c r="H52" s="13"/>
      <c r="I52" s="54"/>
      <c r="J52" s="55"/>
      <c r="K52" s="50"/>
      <c r="L52" s="56"/>
      <c r="M52" s="53"/>
      <c r="N52" s="57"/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13.25" hidden="false" customHeight="false" outlineLevel="0" collapsed="false">
      <c r="B53" s="50" t="n">
        <v>23</v>
      </c>
      <c r="C53" s="51" t="s">
        <v>86</v>
      </c>
      <c r="D53" s="52" t="s">
        <v>62</v>
      </c>
      <c r="E53" s="29"/>
      <c r="F53" s="13"/>
      <c r="G53" s="13"/>
      <c r="H53" s="13"/>
      <c r="I53" s="54"/>
      <c r="J53" s="55"/>
      <c r="K53" s="50"/>
      <c r="L53" s="56"/>
      <c r="M53" s="29"/>
      <c r="N53" s="57"/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13.25" hidden="false" customHeight="false" outlineLevel="0" collapsed="false">
      <c r="B54" s="50" t="n">
        <v>24</v>
      </c>
      <c r="C54" s="51" t="s">
        <v>86</v>
      </c>
      <c r="D54" s="52" t="s">
        <v>3</v>
      </c>
      <c r="E54" s="29" t="s">
        <v>161</v>
      </c>
      <c r="F54" s="13"/>
      <c r="G54" s="13"/>
      <c r="H54" s="13"/>
      <c r="I54" s="54"/>
      <c r="J54" s="55"/>
      <c r="K54" s="50"/>
      <c r="L54" s="56" t="s">
        <v>162</v>
      </c>
      <c r="M54" s="53" t="s">
        <v>108</v>
      </c>
      <c r="N54" s="57" t="s">
        <v>79</v>
      </c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54" type="whole">
      <formula1>0</formula1>
      <formula2>1000</formula2>
    </dataValidation>
    <dataValidation allowBlank="true" operator="equal" showDropDown="false" showErrorMessage="true" showInputMessage="false" sqref="J7:J54" type="list">
      <formula1>"K,L3,L2,L1"</formula1>
      <formula2>0</formula2>
    </dataValidation>
    <dataValidation allowBlank="true" operator="equal" showDropDown="false" showErrorMessage="true" showInputMessage="false" sqref="K7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J6" activeCellId="1" sqref="N25 J6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163</v>
      </c>
      <c r="J6" s="35" t="s">
        <v>164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50" t="n">
        <v>1</v>
      </c>
      <c r="C7" s="51" t="s">
        <v>45</v>
      </c>
      <c r="D7" s="52" t="s">
        <v>3</v>
      </c>
      <c r="E7" s="53"/>
      <c r="F7" s="13"/>
      <c r="G7" s="13"/>
      <c r="H7" s="13"/>
      <c r="I7" s="54"/>
      <c r="J7" s="55"/>
      <c r="K7" s="50"/>
      <c r="L7" s="64"/>
      <c r="M7" s="53"/>
      <c r="N7" s="57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50" t="n">
        <v>2</v>
      </c>
      <c r="C8" s="51" t="s">
        <v>45</v>
      </c>
      <c r="D8" s="52" t="s">
        <v>3</v>
      </c>
      <c r="E8" s="53"/>
      <c r="F8" s="13"/>
      <c r="G8" s="13"/>
      <c r="H8" s="13"/>
      <c r="I8" s="54"/>
      <c r="J8" s="55"/>
      <c r="K8" s="50"/>
      <c r="L8" s="64"/>
      <c r="M8" s="53"/>
      <c r="N8" s="57"/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50" t="n">
        <v>3</v>
      </c>
      <c r="C9" s="51" t="s">
        <v>45</v>
      </c>
      <c r="D9" s="52" t="s">
        <v>3</v>
      </c>
      <c r="E9" s="29"/>
      <c r="F9" s="13"/>
      <c r="G9" s="13"/>
      <c r="H9" s="13"/>
      <c r="I9" s="54"/>
      <c r="J9" s="55"/>
      <c r="K9" s="50"/>
      <c r="L9" s="64"/>
      <c r="M9" s="53"/>
      <c r="N9" s="57"/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50" t="n">
        <v>4</v>
      </c>
      <c r="C10" s="51" t="s">
        <v>45</v>
      </c>
      <c r="D10" s="52" t="s">
        <v>3</v>
      </c>
      <c r="E10" s="29"/>
      <c r="F10" s="13"/>
      <c r="G10" s="13"/>
      <c r="H10" s="13"/>
      <c r="I10" s="54"/>
      <c r="J10" s="55"/>
      <c r="K10" s="50"/>
      <c r="L10" s="64"/>
      <c r="M10" s="53"/>
      <c r="N10" s="57"/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6.4" hidden="false" customHeight="true" outlineLevel="0" collapsed="false">
      <c r="B11" s="50" t="n">
        <v>5</v>
      </c>
      <c r="C11" s="51" t="s">
        <v>45</v>
      </c>
      <c r="D11" s="52" t="s">
        <v>3</v>
      </c>
      <c r="E11" s="29"/>
      <c r="F11" s="13"/>
      <c r="G11" s="13"/>
      <c r="H11" s="13"/>
      <c r="I11" s="54"/>
      <c r="J11" s="55"/>
      <c r="K11" s="50"/>
      <c r="L11" s="64"/>
      <c r="M11" s="53"/>
      <c r="N11" s="57"/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6.4" hidden="false" customHeight="true" outlineLevel="0" collapsed="false">
      <c r="B12" s="50" t="n">
        <v>6</v>
      </c>
      <c r="C12" s="51" t="s">
        <v>45</v>
      </c>
      <c r="D12" s="52" t="s">
        <v>3</v>
      </c>
      <c r="E12" s="29"/>
      <c r="F12" s="13"/>
      <c r="G12" s="13"/>
      <c r="H12" s="13"/>
      <c r="I12" s="54"/>
      <c r="J12" s="55"/>
      <c r="K12" s="50"/>
      <c r="L12" s="64"/>
      <c r="M12" s="53"/>
      <c r="N12" s="57"/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6.4" hidden="false" customHeight="true" outlineLevel="0" collapsed="false">
      <c r="B13" s="50" t="n">
        <v>7</v>
      </c>
      <c r="C13" s="51" t="s">
        <v>45</v>
      </c>
      <c r="D13" s="52" t="s">
        <v>3</v>
      </c>
      <c r="E13" s="29"/>
      <c r="F13" s="13"/>
      <c r="G13" s="13"/>
      <c r="H13" s="13"/>
      <c r="I13" s="54"/>
      <c r="J13" s="55"/>
      <c r="K13" s="50"/>
      <c r="L13" s="64"/>
      <c r="M13" s="53"/>
      <c r="N13" s="57"/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6.4" hidden="false" customHeight="true" outlineLevel="0" collapsed="false">
      <c r="B14" s="50" t="n">
        <v>8</v>
      </c>
      <c r="C14" s="51" t="s">
        <v>45</v>
      </c>
      <c r="D14" s="52" t="s">
        <v>3</v>
      </c>
      <c r="E14" s="29"/>
      <c r="F14" s="13"/>
      <c r="G14" s="13"/>
      <c r="H14" s="13"/>
      <c r="I14" s="54"/>
      <c r="J14" s="55"/>
      <c r="K14" s="50"/>
      <c r="L14" s="64"/>
      <c r="M14" s="53"/>
      <c r="N14" s="57"/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6.4" hidden="false" customHeight="true" outlineLevel="0" collapsed="false">
      <c r="B15" s="50" t="n">
        <v>9</v>
      </c>
      <c r="C15" s="51" t="s">
        <v>45</v>
      </c>
      <c r="D15" s="52" t="s">
        <v>3</v>
      </c>
      <c r="E15" s="29"/>
      <c r="F15" s="13"/>
      <c r="G15" s="13"/>
      <c r="H15" s="13"/>
      <c r="I15" s="54"/>
      <c r="J15" s="55"/>
      <c r="K15" s="50"/>
      <c r="L15" s="64"/>
      <c r="M15" s="53"/>
      <c r="N15" s="57"/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6.4" hidden="false" customHeight="true" outlineLevel="0" collapsed="false">
      <c r="B16" s="50" t="n">
        <v>10</v>
      </c>
      <c r="C16" s="51" t="s">
        <v>45</v>
      </c>
      <c r="D16" s="52" t="s">
        <v>3</v>
      </c>
      <c r="E16" s="29"/>
      <c r="F16" s="13"/>
      <c r="G16" s="13"/>
      <c r="H16" s="13"/>
      <c r="I16" s="54"/>
      <c r="J16" s="55"/>
      <c r="K16" s="50"/>
      <c r="L16" s="64"/>
      <c r="M16" s="53"/>
      <c r="N16" s="57"/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6.4" hidden="false" customHeight="true" outlineLevel="0" collapsed="false">
      <c r="B17" s="50" t="n">
        <v>11</v>
      </c>
      <c r="C17" s="51" t="s">
        <v>45</v>
      </c>
      <c r="D17" s="52" t="s">
        <v>3</v>
      </c>
      <c r="E17" s="29"/>
      <c r="F17" s="13"/>
      <c r="G17" s="13"/>
      <c r="H17" s="13"/>
      <c r="I17" s="54"/>
      <c r="J17" s="55"/>
      <c r="K17" s="50"/>
      <c r="L17" s="64"/>
      <c r="M17" s="53"/>
      <c r="N17" s="57"/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6.4" hidden="false" customHeight="true" outlineLevel="0" collapsed="false">
      <c r="B18" s="50" t="n">
        <v>12</v>
      </c>
      <c r="C18" s="51" t="s">
        <v>45</v>
      </c>
      <c r="D18" s="52" t="s">
        <v>3</v>
      </c>
      <c r="E18" s="29"/>
      <c r="F18" s="13"/>
      <c r="G18" s="13"/>
      <c r="H18" s="13"/>
      <c r="I18" s="54"/>
      <c r="J18" s="55"/>
      <c r="K18" s="50"/>
      <c r="L18" s="64"/>
      <c r="M18" s="53"/>
      <c r="N18" s="57"/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50" t="n">
        <v>13</v>
      </c>
      <c r="C19" s="51" t="s">
        <v>45</v>
      </c>
      <c r="D19" s="52" t="s">
        <v>3</v>
      </c>
      <c r="E19" s="29"/>
      <c r="F19" s="13"/>
      <c r="G19" s="13"/>
      <c r="H19" s="13"/>
      <c r="I19" s="54"/>
      <c r="J19" s="55"/>
      <c r="K19" s="50"/>
      <c r="L19" s="64"/>
      <c r="M19" s="53"/>
      <c r="N19" s="57"/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6.4" hidden="false" customHeight="true" outlineLevel="0" collapsed="false">
      <c r="B20" s="50" t="n">
        <v>14</v>
      </c>
      <c r="C20" s="51" t="s">
        <v>45</v>
      </c>
      <c r="D20" s="52" t="s">
        <v>3</v>
      </c>
      <c r="E20" s="29"/>
      <c r="F20" s="13"/>
      <c r="G20" s="13"/>
      <c r="H20" s="13"/>
      <c r="I20" s="54"/>
      <c r="J20" s="55"/>
      <c r="K20" s="50"/>
      <c r="L20" s="64"/>
      <c r="M20" s="53"/>
      <c r="N20" s="57"/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50" t="n">
        <v>15</v>
      </c>
      <c r="C21" s="51" t="s">
        <v>45</v>
      </c>
      <c r="D21" s="52" t="s">
        <v>3</v>
      </c>
      <c r="E21" s="29"/>
      <c r="F21" s="13"/>
      <c r="G21" s="13"/>
      <c r="H21" s="13"/>
      <c r="I21" s="54"/>
      <c r="J21" s="55"/>
      <c r="K21" s="50"/>
      <c r="L21" s="64"/>
      <c r="M21" s="53"/>
      <c r="N21" s="57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50" t="n">
        <v>16</v>
      </c>
      <c r="C22" s="51" t="s">
        <v>45</v>
      </c>
      <c r="D22" s="52" t="s">
        <v>3</v>
      </c>
      <c r="E22" s="29"/>
      <c r="F22" s="13"/>
      <c r="G22" s="13"/>
      <c r="H22" s="13"/>
      <c r="I22" s="54"/>
      <c r="J22" s="55"/>
      <c r="K22" s="50"/>
      <c r="L22" s="64"/>
      <c r="M22" s="53"/>
      <c r="N22" s="57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50" t="n">
        <v>17</v>
      </c>
      <c r="C23" s="51" t="s">
        <v>45</v>
      </c>
      <c r="D23" s="52" t="s">
        <v>3</v>
      </c>
      <c r="E23" s="29"/>
      <c r="F23" s="13"/>
      <c r="G23" s="13"/>
      <c r="H23" s="13"/>
      <c r="I23" s="54"/>
      <c r="J23" s="55"/>
      <c r="K23" s="50"/>
      <c r="L23" s="64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50" t="n">
        <v>18</v>
      </c>
      <c r="C24" s="51" t="s">
        <v>45</v>
      </c>
      <c r="D24" s="52" t="s">
        <v>3</v>
      </c>
      <c r="E24" s="29"/>
      <c r="F24" s="13"/>
      <c r="G24" s="13"/>
      <c r="H24" s="13"/>
      <c r="I24" s="54"/>
      <c r="J24" s="55"/>
      <c r="K24" s="50"/>
      <c r="L24" s="64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6.4" hidden="false" customHeight="true" outlineLevel="0" collapsed="false">
      <c r="B25" s="50" t="n">
        <v>19</v>
      </c>
      <c r="C25" s="51" t="s">
        <v>45</v>
      </c>
      <c r="D25" s="52" t="s">
        <v>3</v>
      </c>
      <c r="E25" s="29"/>
      <c r="F25" s="13"/>
      <c r="G25" s="13"/>
      <c r="H25" s="13"/>
      <c r="I25" s="54"/>
      <c r="J25" s="55"/>
      <c r="K25" s="50"/>
      <c r="L25" s="64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6.4" hidden="false" customHeight="true" outlineLevel="0" collapsed="false">
      <c r="B26" s="50" t="n">
        <v>20</v>
      </c>
      <c r="C26" s="51" t="s">
        <v>45</v>
      </c>
      <c r="D26" s="52" t="s">
        <v>3</v>
      </c>
      <c r="E26" s="29"/>
      <c r="F26" s="13"/>
      <c r="G26" s="13"/>
      <c r="H26" s="13"/>
      <c r="I26" s="54"/>
      <c r="J26" s="55"/>
      <c r="K26" s="50"/>
      <c r="L26" s="64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6.4" hidden="false" customHeight="true" outlineLevel="0" collapsed="false">
      <c r="B27" s="50" t="n">
        <v>21</v>
      </c>
      <c r="C27" s="51" t="s">
        <v>45</v>
      </c>
      <c r="D27" s="52" t="s">
        <v>3</v>
      </c>
      <c r="E27" s="29"/>
      <c r="F27" s="13"/>
      <c r="G27" s="13"/>
      <c r="H27" s="13"/>
      <c r="I27" s="54"/>
      <c r="J27" s="55"/>
      <c r="K27" s="50"/>
      <c r="L27" s="64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50" t="n">
        <v>22</v>
      </c>
      <c r="C28" s="51" t="s">
        <v>45</v>
      </c>
      <c r="D28" s="52" t="s">
        <v>3</v>
      </c>
      <c r="E28" s="29"/>
      <c r="F28" s="13"/>
      <c r="G28" s="13"/>
      <c r="H28" s="13"/>
      <c r="I28" s="54"/>
      <c r="J28" s="55"/>
      <c r="K28" s="50"/>
      <c r="L28" s="64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50" t="n">
        <v>23</v>
      </c>
      <c r="C29" s="51" t="s">
        <v>45</v>
      </c>
      <c r="D29" s="52" t="s">
        <v>3</v>
      </c>
      <c r="E29" s="29"/>
      <c r="F29" s="13"/>
      <c r="G29" s="13"/>
      <c r="H29" s="13"/>
      <c r="I29" s="54"/>
      <c r="J29" s="55"/>
      <c r="K29" s="50"/>
      <c r="L29" s="64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50" t="n">
        <v>24</v>
      </c>
      <c r="C30" s="51" t="s">
        <v>45</v>
      </c>
      <c r="D30" s="52" t="s">
        <v>3</v>
      </c>
      <c r="E30" s="29"/>
      <c r="F30" s="13"/>
      <c r="G30" s="13"/>
      <c r="H30" s="13"/>
      <c r="I30" s="54"/>
      <c r="J30" s="55"/>
      <c r="K30" s="50"/>
      <c r="L30" s="64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24.85" hidden="false" customHeight="false" outlineLevel="0" collapsed="false">
      <c r="B31" s="50" t="n">
        <v>1</v>
      </c>
      <c r="C31" s="51" t="s">
        <v>86</v>
      </c>
      <c r="D31" s="52" t="s">
        <v>62</v>
      </c>
      <c r="E31" s="53" t="s">
        <v>165</v>
      </c>
      <c r="F31" s="13"/>
      <c r="G31" s="13"/>
      <c r="H31" s="13"/>
      <c r="I31" s="54"/>
      <c r="J31" s="55"/>
      <c r="K31" s="50"/>
      <c r="L31" s="53" t="s">
        <v>165</v>
      </c>
      <c r="M31" s="53" t="s">
        <v>166</v>
      </c>
      <c r="N31" s="73" t="s">
        <v>167</v>
      </c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24.85" hidden="false" customHeight="false" outlineLevel="0" collapsed="false">
      <c r="B32" s="50" t="n">
        <v>2</v>
      </c>
      <c r="C32" s="51" t="s">
        <v>86</v>
      </c>
      <c r="D32" s="52" t="s">
        <v>62</v>
      </c>
      <c r="E32" s="53" t="s">
        <v>168</v>
      </c>
      <c r="F32" s="13"/>
      <c r="G32" s="13"/>
      <c r="H32" s="13"/>
      <c r="I32" s="54"/>
      <c r="J32" s="55"/>
      <c r="K32" s="50"/>
      <c r="L32" s="53" t="s">
        <v>168</v>
      </c>
      <c r="M32" s="53" t="s">
        <v>166</v>
      </c>
      <c r="N32" s="73" t="s">
        <v>167</v>
      </c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24.85" hidden="false" customHeight="false" outlineLevel="0" collapsed="false">
      <c r="B33" s="50" t="n">
        <v>3</v>
      </c>
      <c r="C33" s="51" t="s">
        <v>86</v>
      </c>
      <c r="D33" s="52" t="s">
        <v>62</v>
      </c>
      <c r="E33" s="29" t="s">
        <v>169</v>
      </c>
      <c r="F33" s="13"/>
      <c r="G33" s="13"/>
      <c r="H33" s="13"/>
      <c r="I33" s="54"/>
      <c r="J33" s="55"/>
      <c r="K33" s="50"/>
      <c r="L33" s="29" t="s">
        <v>169</v>
      </c>
      <c r="M33" s="53" t="s">
        <v>166</v>
      </c>
      <c r="N33" s="73" t="s">
        <v>167</v>
      </c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24.85" hidden="false" customHeight="false" outlineLevel="0" collapsed="false">
      <c r="B34" s="50" t="n">
        <v>4</v>
      </c>
      <c r="C34" s="51" t="s">
        <v>86</v>
      </c>
      <c r="D34" s="52" t="s">
        <v>62</v>
      </c>
      <c r="E34" s="29" t="s">
        <v>170</v>
      </c>
      <c r="F34" s="13"/>
      <c r="G34" s="13"/>
      <c r="H34" s="13"/>
      <c r="I34" s="54"/>
      <c r="J34" s="55"/>
      <c r="K34" s="50"/>
      <c r="L34" s="29" t="s">
        <v>170</v>
      </c>
      <c r="M34" s="53" t="s">
        <v>166</v>
      </c>
      <c r="N34" s="73" t="s">
        <v>167</v>
      </c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24.85" hidden="false" customHeight="false" outlineLevel="0" collapsed="false">
      <c r="B35" s="50" t="n">
        <v>5</v>
      </c>
      <c r="C35" s="51" t="s">
        <v>86</v>
      </c>
      <c r="D35" s="52" t="s">
        <v>62</v>
      </c>
      <c r="E35" s="29" t="s">
        <v>171</v>
      </c>
      <c r="F35" s="13"/>
      <c r="G35" s="13"/>
      <c r="H35" s="13"/>
      <c r="I35" s="54"/>
      <c r="J35" s="55"/>
      <c r="K35" s="50"/>
      <c r="L35" s="29" t="s">
        <v>171</v>
      </c>
      <c r="M35" s="53" t="s">
        <v>166</v>
      </c>
      <c r="N35" s="73" t="s">
        <v>167</v>
      </c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24.85" hidden="false" customHeight="false" outlineLevel="0" collapsed="false">
      <c r="B36" s="50" t="n">
        <v>6</v>
      </c>
      <c r="C36" s="51" t="s">
        <v>86</v>
      </c>
      <c r="D36" s="52" t="s">
        <v>62</v>
      </c>
      <c r="E36" s="29" t="s">
        <v>172</v>
      </c>
      <c r="F36" s="13"/>
      <c r="G36" s="13"/>
      <c r="H36" s="13"/>
      <c r="I36" s="54"/>
      <c r="J36" s="55"/>
      <c r="K36" s="50"/>
      <c r="L36" s="29" t="s">
        <v>172</v>
      </c>
      <c r="M36" s="53" t="s">
        <v>166</v>
      </c>
      <c r="N36" s="73" t="s">
        <v>167</v>
      </c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24.85" hidden="false" customHeight="false" outlineLevel="0" collapsed="false">
      <c r="B37" s="50" t="n">
        <v>7</v>
      </c>
      <c r="C37" s="51" t="s">
        <v>86</v>
      </c>
      <c r="D37" s="52" t="s">
        <v>3</v>
      </c>
      <c r="E37" s="29" t="s">
        <v>173</v>
      </c>
      <c r="F37" s="13"/>
      <c r="G37" s="13"/>
      <c r="H37" s="13"/>
      <c r="I37" s="54"/>
      <c r="J37" s="55"/>
      <c r="K37" s="50"/>
      <c r="L37" s="29" t="s">
        <v>173</v>
      </c>
      <c r="M37" s="53" t="s">
        <v>166</v>
      </c>
      <c r="N37" s="73" t="s">
        <v>167</v>
      </c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24.85" hidden="false" customHeight="false" outlineLevel="0" collapsed="false">
      <c r="B38" s="50" t="n">
        <v>8</v>
      </c>
      <c r="C38" s="51" t="s">
        <v>86</v>
      </c>
      <c r="D38" s="52" t="s">
        <v>62</v>
      </c>
      <c r="E38" s="29" t="s">
        <v>174</v>
      </c>
      <c r="F38" s="13"/>
      <c r="G38" s="13"/>
      <c r="H38" s="13"/>
      <c r="I38" s="54"/>
      <c r="J38" s="55"/>
      <c r="K38" s="50"/>
      <c r="L38" s="29" t="s">
        <v>174</v>
      </c>
      <c r="M38" s="53" t="s">
        <v>166</v>
      </c>
      <c r="N38" s="73" t="s">
        <v>167</v>
      </c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24.85" hidden="false" customHeight="false" outlineLevel="0" collapsed="false">
      <c r="B39" s="50" t="n">
        <v>9</v>
      </c>
      <c r="C39" s="51" t="s">
        <v>86</v>
      </c>
      <c r="D39" s="52" t="s">
        <v>62</v>
      </c>
      <c r="E39" s="29" t="s">
        <v>175</v>
      </c>
      <c r="F39" s="13"/>
      <c r="G39" s="13"/>
      <c r="H39" s="13"/>
      <c r="I39" s="54"/>
      <c r="J39" s="55"/>
      <c r="K39" s="50"/>
      <c r="L39" s="29" t="s">
        <v>175</v>
      </c>
      <c r="M39" s="53" t="s">
        <v>166</v>
      </c>
      <c r="N39" s="73" t="s">
        <v>167</v>
      </c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13.25" hidden="false" customHeight="false" outlineLevel="0" collapsed="false">
      <c r="B40" s="50" t="n">
        <v>10</v>
      </c>
      <c r="C40" s="51" t="s">
        <v>86</v>
      </c>
      <c r="D40" s="52" t="s">
        <v>3</v>
      </c>
      <c r="E40" s="29"/>
      <c r="F40" s="13"/>
      <c r="G40" s="13"/>
      <c r="H40" s="13"/>
      <c r="I40" s="54"/>
      <c r="J40" s="55"/>
      <c r="K40" s="50"/>
      <c r="L40" s="64"/>
      <c r="M40" s="53"/>
      <c r="N40" s="57"/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13.25" hidden="false" customHeight="false" outlineLevel="0" collapsed="false">
      <c r="B41" s="50" t="n">
        <v>11</v>
      </c>
      <c r="C41" s="51" t="s">
        <v>86</v>
      </c>
      <c r="D41" s="52" t="s">
        <v>3</v>
      </c>
      <c r="E41" s="29"/>
      <c r="F41" s="13"/>
      <c r="G41" s="13"/>
      <c r="H41" s="13"/>
      <c r="I41" s="54"/>
      <c r="J41" s="55"/>
      <c r="K41" s="50"/>
      <c r="L41" s="64"/>
      <c r="M41" s="53"/>
      <c r="N41" s="57"/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13.25" hidden="false" customHeight="false" outlineLevel="0" collapsed="false">
      <c r="B42" s="50" t="n">
        <v>12</v>
      </c>
      <c r="C42" s="51" t="s">
        <v>86</v>
      </c>
      <c r="D42" s="52" t="s">
        <v>3</v>
      </c>
      <c r="E42" s="29"/>
      <c r="F42" s="13"/>
      <c r="G42" s="13"/>
      <c r="H42" s="13"/>
      <c r="I42" s="54"/>
      <c r="J42" s="55"/>
      <c r="K42" s="50"/>
      <c r="L42" s="64"/>
      <c r="M42" s="53"/>
      <c r="N42" s="57"/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13.25" hidden="false" customHeight="false" outlineLevel="0" collapsed="false">
      <c r="B43" s="50" t="n">
        <v>13</v>
      </c>
      <c r="C43" s="51" t="s">
        <v>86</v>
      </c>
      <c r="D43" s="52" t="s">
        <v>3</v>
      </c>
      <c r="E43" s="29"/>
      <c r="F43" s="13"/>
      <c r="G43" s="13"/>
      <c r="H43" s="13"/>
      <c r="I43" s="54"/>
      <c r="J43" s="55"/>
      <c r="K43" s="50"/>
      <c r="L43" s="64"/>
      <c r="M43" s="53"/>
      <c r="N43" s="57"/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13.25" hidden="false" customHeight="false" outlineLevel="0" collapsed="false">
      <c r="B44" s="50" t="n">
        <v>14</v>
      </c>
      <c r="C44" s="51" t="s">
        <v>86</v>
      </c>
      <c r="D44" s="52" t="s">
        <v>3</v>
      </c>
      <c r="E44" s="29"/>
      <c r="F44" s="13"/>
      <c r="G44" s="13"/>
      <c r="H44" s="13"/>
      <c r="I44" s="54"/>
      <c r="J44" s="55"/>
      <c r="K44" s="50"/>
      <c r="L44" s="64"/>
      <c r="M44" s="53"/>
      <c r="N44" s="57"/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13.25" hidden="false" customHeight="false" outlineLevel="0" collapsed="false">
      <c r="B45" s="50" t="n">
        <v>15</v>
      </c>
      <c r="C45" s="51" t="s">
        <v>86</v>
      </c>
      <c r="D45" s="52" t="s">
        <v>3</v>
      </c>
      <c r="E45" s="29"/>
      <c r="F45" s="13"/>
      <c r="G45" s="13"/>
      <c r="H45" s="13"/>
      <c r="I45" s="54"/>
      <c r="J45" s="55"/>
      <c r="K45" s="50"/>
      <c r="L45" s="64"/>
      <c r="M45" s="53"/>
      <c r="N45" s="57"/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50" t="n">
        <v>16</v>
      </c>
      <c r="C46" s="51" t="s">
        <v>86</v>
      </c>
      <c r="D46" s="52" t="s">
        <v>3</v>
      </c>
      <c r="E46" s="29"/>
      <c r="F46" s="13"/>
      <c r="G46" s="13"/>
      <c r="H46" s="13"/>
      <c r="I46" s="54"/>
      <c r="J46" s="55"/>
      <c r="K46" s="50"/>
      <c r="L46" s="64"/>
      <c r="M46" s="53"/>
      <c r="N46" s="57"/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13.25" hidden="false" customHeight="false" outlineLevel="0" collapsed="false">
      <c r="B47" s="50" t="n">
        <v>17</v>
      </c>
      <c r="C47" s="51" t="s">
        <v>86</v>
      </c>
      <c r="D47" s="52" t="s">
        <v>3</v>
      </c>
      <c r="E47" s="29"/>
      <c r="F47" s="13"/>
      <c r="G47" s="13"/>
      <c r="H47" s="13"/>
      <c r="I47" s="54"/>
      <c r="J47" s="55"/>
      <c r="K47" s="50"/>
      <c r="L47" s="64"/>
      <c r="M47" s="53"/>
      <c r="N47" s="57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13.25" hidden="false" customHeight="false" outlineLevel="0" collapsed="false">
      <c r="B48" s="50" t="n">
        <v>18</v>
      </c>
      <c r="C48" s="51" t="s">
        <v>86</v>
      </c>
      <c r="D48" s="52" t="s">
        <v>3</v>
      </c>
      <c r="E48" s="29"/>
      <c r="F48" s="13"/>
      <c r="G48" s="13"/>
      <c r="H48" s="13"/>
      <c r="I48" s="54"/>
      <c r="J48" s="55"/>
      <c r="K48" s="50"/>
      <c r="L48" s="64"/>
      <c r="M48" s="53"/>
      <c r="N48" s="57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13.25" hidden="false" customHeight="false" outlineLevel="0" collapsed="false">
      <c r="B49" s="50" t="n">
        <v>19</v>
      </c>
      <c r="C49" s="51" t="s">
        <v>86</v>
      </c>
      <c r="D49" s="52" t="s">
        <v>3</v>
      </c>
      <c r="E49" s="29"/>
      <c r="F49" s="13"/>
      <c r="G49" s="13"/>
      <c r="H49" s="13"/>
      <c r="I49" s="54"/>
      <c r="J49" s="55"/>
      <c r="K49" s="50"/>
      <c r="L49" s="64"/>
      <c r="M49" s="53"/>
      <c r="N49" s="57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50" t="n">
        <v>20</v>
      </c>
      <c r="C50" s="51" t="s">
        <v>86</v>
      </c>
      <c r="D50" s="52" t="s">
        <v>3</v>
      </c>
      <c r="E50" s="29"/>
      <c r="F50" s="13"/>
      <c r="G50" s="13"/>
      <c r="H50" s="13"/>
      <c r="I50" s="54"/>
      <c r="J50" s="55"/>
      <c r="K50" s="50"/>
      <c r="L50" s="64"/>
      <c r="M50" s="53"/>
      <c r="N50" s="57"/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13.25" hidden="false" customHeight="false" outlineLevel="0" collapsed="false">
      <c r="B51" s="50" t="n">
        <v>21</v>
      </c>
      <c r="C51" s="51" t="s">
        <v>86</v>
      </c>
      <c r="D51" s="52" t="s">
        <v>3</v>
      </c>
      <c r="E51" s="29"/>
      <c r="F51" s="13"/>
      <c r="G51" s="13"/>
      <c r="H51" s="13"/>
      <c r="I51" s="54"/>
      <c r="J51" s="55"/>
      <c r="K51" s="50"/>
      <c r="L51" s="64"/>
      <c r="M51" s="53"/>
      <c r="N51" s="57"/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13.25" hidden="false" customHeight="false" outlineLevel="0" collapsed="false">
      <c r="B52" s="50" t="n">
        <v>22</v>
      </c>
      <c r="C52" s="51" t="s">
        <v>86</v>
      </c>
      <c r="D52" s="52" t="s">
        <v>3</v>
      </c>
      <c r="E52" s="29"/>
      <c r="F52" s="13"/>
      <c r="G52" s="13"/>
      <c r="H52" s="13"/>
      <c r="I52" s="54"/>
      <c r="J52" s="55"/>
      <c r="K52" s="50"/>
      <c r="L52" s="64"/>
      <c r="M52" s="53"/>
      <c r="N52" s="57"/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13.25" hidden="false" customHeight="false" outlineLevel="0" collapsed="false">
      <c r="B53" s="50" t="n">
        <v>23</v>
      </c>
      <c r="C53" s="51" t="s">
        <v>86</v>
      </c>
      <c r="D53" s="52" t="s">
        <v>3</v>
      </c>
      <c r="E53" s="29"/>
      <c r="F53" s="13"/>
      <c r="G53" s="13"/>
      <c r="H53" s="13"/>
      <c r="I53" s="54"/>
      <c r="J53" s="55"/>
      <c r="K53" s="50"/>
      <c r="L53" s="64"/>
      <c r="M53" s="29"/>
      <c r="N53" s="57"/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13.25" hidden="false" customHeight="false" outlineLevel="0" collapsed="false">
      <c r="B54" s="50" t="n">
        <v>24</v>
      </c>
      <c r="C54" s="51" t="s">
        <v>86</v>
      </c>
      <c r="D54" s="52" t="s">
        <v>3</v>
      </c>
      <c r="E54" s="29"/>
      <c r="F54" s="13"/>
      <c r="G54" s="13"/>
      <c r="H54" s="13"/>
      <c r="I54" s="54"/>
      <c r="J54" s="55"/>
      <c r="K54" s="50"/>
      <c r="L54" s="64"/>
      <c r="M54" s="29"/>
      <c r="N54" s="57"/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4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:J30 J40:J54" type="list">
      <formula1>"K,L3,L2,L1"</formula1>
      <formula2>0</formula2>
    </dataValidation>
    <dataValidation allowBlank="true" operator="equal" showDropDown="false" showErrorMessage="true" showInputMessage="false" sqref="K6:K30 K40:K54" type="list">
      <formula1>"unfocused,focused"</formula1>
      <formula2>0</formula2>
    </dataValidation>
    <dataValidation allowBlank="true" operator="between" showDropDown="false" showErrorMessage="true" showInputMessage="false" sqref="F6:F30 F40:F54" type="whole">
      <formula1>0</formula1>
      <formula2>1000</formula2>
    </dataValidation>
    <dataValidation allowBlank="true" operator="between" showDropDown="false" showErrorMessage="true" showInputMessage="false" sqref="B7:B30 B40:B54" type="whole">
      <formula1>1</formula1>
      <formula2>24</formula2>
    </dataValidation>
    <dataValidation allowBlank="true" operator="equal" showDropDown="false" showErrorMessage="true" showInputMessage="false" sqref="K2 D6:D30 D40:D54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:C30 C40:C54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30 H40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30 I40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31:D39" type="list">
      <formula1>"Yes,No"</formula1>
      <formula2>0</formula2>
    </dataValidation>
    <dataValidation allowBlank="true" operator="between" showDropDown="false" showErrorMessage="true" showInputMessage="false" sqref="F31:F39" type="whole">
      <formula1>0</formula1>
      <formula2>1000</formula2>
    </dataValidation>
    <dataValidation allowBlank="true" operator="equal" showDropDown="false" showErrorMessage="true" showInputMessage="false" sqref="H31:H39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31:I39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J31:J39" type="list">
      <formula1>"K,L3,L2,L1"</formula1>
      <formula2>0</formula2>
    </dataValidation>
    <dataValidation allowBlank="true" operator="equal" showDropDown="false" showErrorMessage="true" showInputMessage="false" sqref="K31:K39" type="list">
      <formula1>"unfocused,focused"</formula1>
      <formula2>0</formula2>
    </dataValidation>
    <dataValidation allowBlank="true" operator="between" showDropDown="false" showErrorMessage="true" showInputMessage="false" sqref="B31:B39" type="whole">
      <formula1>1</formula1>
      <formula2>24</formula2>
    </dataValidation>
    <dataValidation allowBlank="true" operator="equal" showDropDown="false" showErrorMessage="true" showInputMessage="false" sqref="C31:C39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10" activePane="bottomRight" state="frozen"/>
      <selection pane="topLeft" activeCell="A1" activeCellId="0" sqref="A1"/>
      <selection pane="topRight" activeCell="F1" activeCellId="0" sqref="F1"/>
      <selection pane="bottomLeft" activeCell="A10" activeCellId="0" sqref="A10"/>
      <selection pane="bottomRight" activeCell="F20" activeCellId="1" sqref="N25 F20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176</v>
      </c>
      <c r="J6" s="35" t="s">
        <v>164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177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50" t="n">
        <v>1</v>
      </c>
      <c r="C7" s="51" t="s">
        <v>45</v>
      </c>
      <c r="D7" s="52" t="s">
        <v>3</v>
      </c>
      <c r="E7" s="74"/>
      <c r="F7" s="13"/>
      <c r="G7" s="13"/>
      <c r="H7" s="13"/>
      <c r="I7" s="54"/>
      <c r="J7" s="55"/>
      <c r="K7" s="50"/>
      <c r="L7" s="56"/>
      <c r="M7" s="53"/>
      <c r="N7" s="57"/>
      <c r="O7" s="56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50" t="n">
        <v>2</v>
      </c>
      <c r="C8" s="51" t="s">
        <v>45</v>
      </c>
      <c r="D8" s="52" t="s">
        <v>3</v>
      </c>
      <c r="E8" s="74"/>
      <c r="F8" s="13"/>
      <c r="G8" s="13"/>
      <c r="H8" s="13"/>
      <c r="I8" s="54"/>
      <c r="J8" s="55"/>
      <c r="K8" s="50"/>
      <c r="L8" s="56"/>
      <c r="M8" s="53"/>
      <c r="N8" s="57"/>
      <c r="O8" s="56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50" t="n">
        <v>3</v>
      </c>
      <c r="C9" s="51" t="s">
        <v>45</v>
      </c>
      <c r="D9" s="52" t="s">
        <v>3</v>
      </c>
      <c r="E9" s="74"/>
      <c r="F9" s="13"/>
      <c r="G9" s="13"/>
      <c r="H9" s="13"/>
      <c r="I9" s="54"/>
      <c r="J9" s="55"/>
      <c r="K9" s="50"/>
      <c r="L9" s="56"/>
      <c r="M9" s="53"/>
      <c r="N9" s="57"/>
      <c r="O9" s="56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50" t="n">
        <v>4</v>
      </c>
      <c r="C10" s="51" t="s">
        <v>45</v>
      </c>
      <c r="D10" s="52" t="s">
        <v>3</v>
      </c>
      <c r="E10" s="74"/>
      <c r="F10" s="13"/>
      <c r="G10" s="13"/>
      <c r="H10" s="13"/>
      <c r="I10" s="54"/>
      <c r="J10" s="55"/>
      <c r="K10" s="50"/>
      <c r="L10" s="56"/>
      <c r="M10" s="53"/>
      <c r="N10" s="57"/>
      <c r="O10" s="56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24.85" hidden="false" customHeight="false" outlineLevel="0" collapsed="false">
      <c r="B11" s="50" t="n">
        <v>5</v>
      </c>
      <c r="C11" s="51" t="s">
        <v>45</v>
      </c>
      <c r="D11" s="52" t="s">
        <v>3</v>
      </c>
      <c r="E11" s="29" t="s">
        <v>178</v>
      </c>
      <c r="F11" s="13"/>
      <c r="G11" s="13"/>
      <c r="H11" s="13"/>
      <c r="I11" s="54" t="s">
        <v>179</v>
      </c>
      <c r="J11" s="55"/>
      <c r="K11" s="50"/>
      <c r="L11" s="56" t="s">
        <v>180</v>
      </c>
      <c r="M11" s="53" t="s">
        <v>166</v>
      </c>
      <c r="N11" s="73" t="s">
        <v>167</v>
      </c>
      <c r="O11" s="75" t="s">
        <v>181</v>
      </c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24.85" hidden="false" customHeight="false" outlineLevel="0" collapsed="false">
      <c r="B12" s="50" t="n">
        <v>6</v>
      </c>
      <c r="C12" s="51" t="s">
        <v>45</v>
      </c>
      <c r="D12" s="52" t="s">
        <v>3</v>
      </c>
      <c r="E12" s="29" t="s">
        <v>182</v>
      </c>
      <c r="F12" s="13"/>
      <c r="G12" s="13"/>
      <c r="H12" s="13"/>
      <c r="I12" s="54" t="s">
        <v>183</v>
      </c>
      <c r="J12" s="55"/>
      <c r="K12" s="50"/>
      <c r="L12" s="56" t="s">
        <v>184</v>
      </c>
      <c r="M12" s="53" t="s">
        <v>166</v>
      </c>
      <c r="N12" s="73" t="s">
        <v>167</v>
      </c>
      <c r="O12" s="75" t="s">
        <v>185</v>
      </c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6.4" hidden="false" customHeight="true" outlineLevel="0" collapsed="false">
      <c r="B13" s="50" t="n">
        <v>7</v>
      </c>
      <c r="C13" s="51" t="s">
        <v>45</v>
      </c>
      <c r="D13" s="52" t="s">
        <v>3</v>
      </c>
      <c r="E13" s="74"/>
      <c r="F13" s="13"/>
      <c r="G13" s="13"/>
      <c r="H13" s="13"/>
      <c r="I13" s="54"/>
      <c r="J13" s="55"/>
      <c r="K13" s="50"/>
      <c r="L13" s="56"/>
      <c r="M13" s="53"/>
      <c r="N13" s="57"/>
      <c r="O13" s="56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6.4" hidden="false" customHeight="true" outlineLevel="0" collapsed="false">
      <c r="B14" s="50" t="n">
        <v>8</v>
      </c>
      <c r="C14" s="51" t="s">
        <v>45</v>
      </c>
      <c r="D14" s="52" t="s">
        <v>3</v>
      </c>
      <c r="E14" s="74"/>
      <c r="F14" s="13"/>
      <c r="G14" s="13"/>
      <c r="H14" s="13"/>
      <c r="I14" s="54"/>
      <c r="J14" s="55"/>
      <c r="K14" s="50"/>
      <c r="L14" s="56"/>
      <c r="M14" s="53"/>
      <c r="N14" s="57"/>
      <c r="O14" s="56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6.4" hidden="false" customHeight="true" outlineLevel="0" collapsed="false">
      <c r="B15" s="50" t="n">
        <v>9</v>
      </c>
      <c r="C15" s="51" t="s">
        <v>45</v>
      </c>
      <c r="D15" s="52" t="s">
        <v>3</v>
      </c>
      <c r="E15" s="74"/>
      <c r="F15" s="13"/>
      <c r="G15" s="13"/>
      <c r="H15" s="13"/>
      <c r="I15" s="54"/>
      <c r="J15" s="55"/>
      <c r="K15" s="50"/>
      <c r="L15" s="56"/>
      <c r="M15" s="53"/>
      <c r="N15" s="57"/>
      <c r="O15" s="56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6.4" hidden="false" customHeight="true" outlineLevel="0" collapsed="false">
      <c r="B16" s="50" t="n">
        <v>10</v>
      </c>
      <c r="C16" s="51" t="s">
        <v>45</v>
      </c>
      <c r="D16" s="52" t="s">
        <v>3</v>
      </c>
      <c r="E16" s="74"/>
      <c r="F16" s="13"/>
      <c r="G16" s="13"/>
      <c r="H16" s="13"/>
      <c r="I16" s="54"/>
      <c r="J16" s="55"/>
      <c r="K16" s="50"/>
      <c r="L16" s="56"/>
      <c r="M16" s="53"/>
      <c r="N16" s="57"/>
      <c r="O16" s="56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24.85" hidden="false" customHeight="false" outlineLevel="0" collapsed="false">
      <c r="B17" s="50" t="n">
        <v>11</v>
      </c>
      <c r="C17" s="51" t="s">
        <v>45</v>
      </c>
      <c r="D17" s="52" t="s">
        <v>3</v>
      </c>
      <c r="E17" s="76" t="s">
        <v>186</v>
      </c>
      <c r="F17" s="13"/>
      <c r="G17" s="13"/>
      <c r="H17" s="13"/>
      <c r="I17" s="54"/>
      <c r="J17" s="55"/>
      <c r="K17" s="50"/>
      <c r="L17" s="56" t="s">
        <v>187</v>
      </c>
      <c r="M17" s="53" t="s">
        <v>166</v>
      </c>
      <c r="N17" s="73" t="s">
        <v>167</v>
      </c>
      <c r="O17" s="75" t="s">
        <v>188</v>
      </c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24.85" hidden="false" customHeight="false" outlineLevel="0" collapsed="false">
      <c r="B18" s="50" t="n">
        <v>12</v>
      </c>
      <c r="C18" s="51" t="s">
        <v>45</v>
      </c>
      <c r="D18" s="52" t="s">
        <v>3</v>
      </c>
      <c r="E18" s="29" t="s">
        <v>189</v>
      </c>
      <c r="F18" s="13"/>
      <c r="G18" s="13"/>
      <c r="H18" s="13"/>
      <c r="I18" s="54" t="s">
        <v>190</v>
      </c>
      <c r="J18" s="55"/>
      <c r="K18" s="50"/>
      <c r="L18" s="29" t="s">
        <v>189</v>
      </c>
      <c r="M18" s="53" t="s">
        <v>166</v>
      </c>
      <c r="N18" s="73" t="s">
        <v>167</v>
      </c>
      <c r="O18" s="75" t="s">
        <v>188</v>
      </c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50" t="n">
        <v>13</v>
      </c>
      <c r="C19" s="51" t="s">
        <v>45</v>
      </c>
      <c r="D19" s="52" t="s">
        <v>3</v>
      </c>
      <c r="E19" s="74"/>
      <c r="F19" s="13"/>
      <c r="G19" s="13"/>
      <c r="H19" s="13"/>
      <c r="I19" s="54"/>
      <c r="J19" s="55"/>
      <c r="K19" s="50"/>
      <c r="L19" s="56"/>
      <c r="M19" s="53"/>
      <c r="N19" s="57"/>
      <c r="O19" s="56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4.85" hidden="false" customHeight="false" outlineLevel="0" collapsed="false">
      <c r="B20" s="50" t="n">
        <v>14</v>
      </c>
      <c r="C20" s="51" t="s">
        <v>45</v>
      </c>
      <c r="D20" s="52" t="s">
        <v>3</v>
      </c>
      <c r="E20" s="29" t="s">
        <v>191</v>
      </c>
      <c r="F20" s="13"/>
      <c r="G20" s="13"/>
      <c r="H20" s="13"/>
      <c r="I20" s="54" t="s">
        <v>192</v>
      </c>
      <c r="J20" s="55"/>
      <c r="K20" s="50"/>
      <c r="L20" s="29" t="s">
        <v>191</v>
      </c>
      <c r="M20" s="53" t="s">
        <v>166</v>
      </c>
      <c r="N20" s="73" t="s">
        <v>167</v>
      </c>
      <c r="O20" s="75" t="s">
        <v>193</v>
      </c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50" t="n">
        <v>15</v>
      </c>
      <c r="C21" s="51" t="s">
        <v>45</v>
      </c>
      <c r="D21" s="52" t="s">
        <v>3</v>
      </c>
      <c r="E21" s="74"/>
      <c r="F21" s="13"/>
      <c r="G21" s="13"/>
      <c r="H21" s="13"/>
      <c r="I21" s="54"/>
      <c r="J21" s="55"/>
      <c r="K21" s="50"/>
      <c r="L21" s="56"/>
      <c r="M21" s="53"/>
      <c r="N21" s="57"/>
      <c r="O21" s="56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50" t="n">
        <v>16</v>
      </c>
      <c r="C22" s="51" t="s">
        <v>45</v>
      </c>
      <c r="D22" s="52" t="s">
        <v>3</v>
      </c>
      <c r="E22" s="74"/>
      <c r="F22" s="13"/>
      <c r="G22" s="13"/>
      <c r="H22" s="13"/>
      <c r="I22" s="54"/>
      <c r="J22" s="55"/>
      <c r="K22" s="50"/>
      <c r="L22" s="56"/>
      <c r="M22" s="53"/>
      <c r="N22" s="57"/>
      <c r="O22" s="56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50" t="n">
        <v>17</v>
      </c>
      <c r="C23" s="51" t="s">
        <v>45</v>
      </c>
      <c r="D23" s="52" t="s">
        <v>3</v>
      </c>
      <c r="E23" s="74"/>
      <c r="F23" s="13"/>
      <c r="G23" s="13"/>
      <c r="H23" s="13"/>
      <c r="I23" s="54"/>
      <c r="J23" s="55"/>
      <c r="K23" s="50"/>
      <c r="L23" s="56"/>
      <c r="M23" s="53"/>
      <c r="N23" s="57"/>
      <c r="O23" s="56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50" t="n">
        <v>18</v>
      </c>
      <c r="C24" s="51" t="s">
        <v>45</v>
      </c>
      <c r="D24" s="52" t="s">
        <v>3</v>
      </c>
      <c r="E24" s="29" t="s">
        <v>194</v>
      </c>
      <c r="F24" s="13"/>
      <c r="G24" s="13"/>
      <c r="H24" s="13"/>
      <c r="I24" s="54" t="s">
        <v>195</v>
      </c>
      <c r="J24" s="55"/>
      <c r="K24" s="50"/>
      <c r="L24" s="56" t="s">
        <v>196</v>
      </c>
      <c r="M24" s="53" t="s">
        <v>53</v>
      </c>
      <c r="N24" s="57" t="s">
        <v>197</v>
      </c>
      <c r="O24" s="75" t="s">
        <v>198</v>
      </c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24.85" hidden="false" customHeight="false" outlineLevel="0" collapsed="false">
      <c r="B25" s="50" t="n">
        <v>19</v>
      </c>
      <c r="C25" s="51" t="s">
        <v>45</v>
      </c>
      <c r="D25" s="52" t="s">
        <v>3</v>
      </c>
      <c r="E25" s="29" t="s">
        <v>199</v>
      </c>
      <c r="F25" s="13"/>
      <c r="G25" s="13"/>
      <c r="H25" s="13"/>
      <c r="I25" s="54" t="s">
        <v>200</v>
      </c>
      <c r="J25" s="55"/>
      <c r="K25" s="50"/>
      <c r="L25" s="29" t="s">
        <v>199</v>
      </c>
      <c r="M25" s="53" t="s">
        <v>166</v>
      </c>
      <c r="N25" s="73" t="s">
        <v>167</v>
      </c>
      <c r="O25" s="75" t="s">
        <v>201</v>
      </c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24.85" hidden="false" customHeight="false" outlineLevel="0" collapsed="false">
      <c r="B26" s="50" t="n">
        <v>20</v>
      </c>
      <c r="C26" s="51" t="s">
        <v>45</v>
      </c>
      <c r="D26" s="52" t="s">
        <v>3</v>
      </c>
      <c r="E26" s="29" t="s">
        <v>202</v>
      </c>
      <c r="F26" s="13"/>
      <c r="G26" s="13"/>
      <c r="H26" s="13"/>
      <c r="I26" s="54" t="s">
        <v>200</v>
      </c>
      <c r="J26" s="55"/>
      <c r="K26" s="50"/>
      <c r="L26" s="56" t="s">
        <v>203</v>
      </c>
      <c r="M26" s="53" t="s">
        <v>166</v>
      </c>
      <c r="N26" s="73" t="s">
        <v>167</v>
      </c>
      <c r="O26" s="75" t="s">
        <v>201</v>
      </c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24.85" hidden="false" customHeight="false" outlineLevel="0" collapsed="false">
      <c r="B27" s="50" t="n">
        <v>21</v>
      </c>
      <c r="C27" s="51" t="s">
        <v>45</v>
      </c>
      <c r="D27" s="52" t="s">
        <v>3</v>
      </c>
      <c r="E27" s="76" t="s">
        <v>204</v>
      </c>
      <c r="F27" s="13"/>
      <c r="G27" s="13"/>
      <c r="H27" s="13"/>
      <c r="I27" s="54" t="s">
        <v>205</v>
      </c>
      <c r="J27" s="55"/>
      <c r="K27" s="50"/>
      <c r="L27" s="56" t="s">
        <v>206</v>
      </c>
      <c r="M27" s="53" t="s">
        <v>53</v>
      </c>
      <c r="N27" s="73" t="s">
        <v>207</v>
      </c>
      <c r="O27" s="75" t="s">
        <v>208</v>
      </c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50" t="n">
        <v>22</v>
      </c>
      <c r="C28" s="51" t="s">
        <v>45</v>
      </c>
      <c r="D28" s="52" t="s">
        <v>3</v>
      </c>
      <c r="E28" s="29" t="s">
        <v>209</v>
      </c>
      <c r="F28" s="13"/>
      <c r="G28" s="13"/>
      <c r="H28" s="13"/>
      <c r="I28" s="54" t="s">
        <v>183</v>
      </c>
      <c r="J28" s="55"/>
      <c r="K28" s="50"/>
      <c r="L28" s="29" t="s">
        <v>209</v>
      </c>
      <c r="M28" s="53" t="s">
        <v>53</v>
      </c>
      <c r="N28" s="57" t="s">
        <v>210</v>
      </c>
      <c r="O28" s="75" t="s">
        <v>185</v>
      </c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50" t="n">
        <v>23</v>
      </c>
      <c r="C29" s="51" t="s">
        <v>45</v>
      </c>
      <c r="D29" s="52" t="s">
        <v>3</v>
      </c>
      <c r="E29" s="29" t="s">
        <v>211</v>
      </c>
      <c r="F29" s="13"/>
      <c r="G29" s="13"/>
      <c r="H29" s="13"/>
      <c r="I29" s="54" t="s">
        <v>183</v>
      </c>
      <c r="J29" s="55"/>
      <c r="K29" s="50"/>
      <c r="L29" s="29" t="s">
        <v>211</v>
      </c>
      <c r="M29" s="53" t="s">
        <v>53</v>
      </c>
      <c r="N29" s="57" t="s">
        <v>210</v>
      </c>
      <c r="O29" s="75" t="s">
        <v>185</v>
      </c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50" t="n">
        <v>24</v>
      </c>
      <c r="C30" s="51" t="s">
        <v>45</v>
      </c>
      <c r="D30" s="52" t="s">
        <v>3</v>
      </c>
      <c r="E30" s="29" t="s">
        <v>212</v>
      </c>
      <c r="F30" s="13"/>
      <c r="G30" s="13"/>
      <c r="H30" s="13"/>
      <c r="I30" s="54" t="s">
        <v>183</v>
      </c>
      <c r="J30" s="55"/>
      <c r="K30" s="50"/>
      <c r="L30" s="56" t="s">
        <v>213</v>
      </c>
      <c r="M30" s="53" t="s">
        <v>166</v>
      </c>
      <c r="N30" s="73" t="s">
        <v>167</v>
      </c>
      <c r="O30" s="75" t="s">
        <v>185</v>
      </c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13.25" hidden="false" customHeight="false" outlineLevel="0" collapsed="false">
      <c r="B31" s="50" t="n">
        <v>1</v>
      </c>
      <c r="C31" s="51" t="s">
        <v>86</v>
      </c>
      <c r="D31" s="52" t="s">
        <v>3</v>
      </c>
      <c r="E31" s="74"/>
      <c r="F31" s="13"/>
      <c r="G31" s="13"/>
      <c r="H31" s="13"/>
      <c r="I31" s="54"/>
      <c r="J31" s="55"/>
      <c r="K31" s="50"/>
      <c r="L31" s="56"/>
      <c r="M31" s="53"/>
      <c r="N31" s="57"/>
      <c r="O31" s="56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13.25" hidden="false" customHeight="false" outlineLevel="0" collapsed="false">
      <c r="B32" s="50" t="n">
        <v>2</v>
      </c>
      <c r="C32" s="51" t="s">
        <v>86</v>
      </c>
      <c r="D32" s="52" t="s">
        <v>3</v>
      </c>
      <c r="E32" s="74"/>
      <c r="F32" s="13"/>
      <c r="G32" s="13"/>
      <c r="H32" s="13"/>
      <c r="I32" s="54"/>
      <c r="J32" s="55"/>
      <c r="K32" s="50"/>
      <c r="L32" s="56"/>
      <c r="M32" s="53"/>
      <c r="N32" s="57"/>
      <c r="O32" s="56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24.85" hidden="false" customHeight="false" outlineLevel="0" collapsed="false">
      <c r="B33" s="50" t="n">
        <v>3</v>
      </c>
      <c r="C33" s="51" t="s">
        <v>86</v>
      </c>
      <c r="D33" s="52" t="s">
        <v>3</v>
      </c>
      <c r="E33" s="29" t="s">
        <v>214</v>
      </c>
      <c r="F33" s="13"/>
      <c r="G33" s="13"/>
      <c r="H33" s="13"/>
      <c r="I33" s="54" t="s">
        <v>200</v>
      </c>
      <c r="J33" s="55"/>
      <c r="K33" s="50"/>
      <c r="L33" s="29" t="s">
        <v>214</v>
      </c>
      <c r="M33" s="53" t="s">
        <v>166</v>
      </c>
      <c r="N33" s="73" t="s">
        <v>167</v>
      </c>
      <c r="O33" s="75" t="s">
        <v>201</v>
      </c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24.85" hidden="false" customHeight="false" outlineLevel="0" collapsed="false">
      <c r="B34" s="50" t="n">
        <v>4</v>
      </c>
      <c r="C34" s="51" t="s">
        <v>86</v>
      </c>
      <c r="D34" s="52" t="s">
        <v>3</v>
      </c>
      <c r="E34" s="29" t="s">
        <v>84</v>
      </c>
      <c r="F34" s="13"/>
      <c r="G34" s="13"/>
      <c r="H34" s="13"/>
      <c r="I34" s="54" t="s">
        <v>205</v>
      </c>
      <c r="J34" s="55"/>
      <c r="K34" s="50"/>
      <c r="L34" s="29" t="s">
        <v>84</v>
      </c>
      <c r="M34" s="53" t="s">
        <v>166</v>
      </c>
      <c r="N34" s="73" t="s">
        <v>167</v>
      </c>
      <c r="O34" s="75" t="s">
        <v>208</v>
      </c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24.85" hidden="false" customHeight="false" outlineLevel="0" collapsed="false">
      <c r="B35" s="50" t="n">
        <v>5</v>
      </c>
      <c r="C35" s="51" t="s">
        <v>86</v>
      </c>
      <c r="D35" s="52" t="s">
        <v>3</v>
      </c>
      <c r="E35" s="29" t="s">
        <v>215</v>
      </c>
      <c r="F35" s="13"/>
      <c r="G35" s="13"/>
      <c r="H35" s="13"/>
      <c r="I35" s="54" t="s">
        <v>179</v>
      </c>
      <c r="J35" s="55"/>
      <c r="K35" s="50"/>
      <c r="L35" s="29" t="s">
        <v>215</v>
      </c>
      <c r="M35" s="53" t="s">
        <v>166</v>
      </c>
      <c r="N35" s="73" t="s">
        <v>167</v>
      </c>
      <c r="O35" s="75" t="s">
        <v>181</v>
      </c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24.85" hidden="false" customHeight="false" outlineLevel="0" collapsed="false">
      <c r="B36" s="50" t="n">
        <v>6</v>
      </c>
      <c r="C36" s="51" t="s">
        <v>86</v>
      </c>
      <c r="D36" s="52" t="s">
        <v>3</v>
      </c>
      <c r="E36" s="29" t="s">
        <v>216</v>
      </c>
      <c r="F36" s="13"/>
      <c r="G36" s="13"/>
      <c r="H36" s="13"/>
      <c r="I36" s="54" t="s">
        <v>183</v>
      </c>
      <c r="J36" s="55"/>
      <c r="K36" s="50"/>
      <c r="L36" s="29" t="s">
        <v>216</v>
      </c>
      <c r="M36" s="53" t="s">
        <v>166</v>
      </c>
      <c r="N36" s="73" t="s">
        <v>167</v>
      </c>
      <c r="O36" s="75" t="s">
        <v>185</v>
      </c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13.25" hidden="false" customHeight="false" outlineLevel="0" collapsed="false">
      <c r="B37" s="50" t="n">
        <v>7</v>
      </c>
      <c r="C37" s="51" t="s">
        <v>86</v>
      </c>
      <c r="D37" s="52" t="s">
        <v>62</v>
      </c>
      <c r="E37" s="74"/>
      <c r="F37" s="13"/>
      <c r="G37" s="13"/>
      <c r="H37" s="13"/>
      <c r="I37" s="54"/>
      <c r="J37" s="55"/>
      <c r="K37" s="50"/>
      <c r="L37" s="29"/>
      <c r="M37" s="53"/>
      <c r="N37" s="57"/>
      <c r="O37" s="56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24.85" hidden="false" customHeight="false" outlineLevel="0" collapsed="false">
      <c r="B38" s="50" t="n">
        <v>8</v>
      </c>
      <c r="C38" s="51" t="s">
        <v>86</v>
      </c>
      <c r="D38" s="52" t="s">
        <v>3</v>
      </c>
      <c r="E38" s="29" t="s">
        <v>217</v>
      </c>
      <c r="F38" s="13"/>
      <c r="G38" s="13"/>
      <c r="H38" s="13"/>
      <c r="I38" s="54" t="s">
        <v>195</v>
      </c>
      <c r="J38" s="55"/>
      <c r="K38" s="50"/>
      <c r="L38" s="29" t="s">
        <v>217</v>
      </c>
      <c r="M38" s="53" t="s">
        <v>166</v>
      </c>
      <c r="N38" s="73" t="s">
        <v>167</v>
      </c>
      <c r="O38" s="75" t="s">
        <v>198</v>
      </c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24.85" hidden="false" customHeight="false" outlineLevel="0" collapsed="false">
      <c r="B39" s="50" t="n">
        <v>9</v>
      </c>
      <c r="C39" s="51" t="s">
        <v>86</v>
      </c>
      <c r="D39" s="52" t="s">
        <v>3</v>
      </c>
      <c r="E39" s="29" t="s">
        <v>218</v>
      </c>
      <c r="F39" s="13"/>
      <c r="G39" s="13"/>
      <c r="H39" s="13"/>
      <c r="I39" s="54" t="s">
        <v>219</v>
      </c>
      <c r="J39" s="55"/>
      <c r="K39" s="50"/>
      <c r="L39" s="29" t="s">
        <v>218</v>
      </c>
      <c r="M39" s="53" t="s">
        <v>166</v>
      </c>
      <c r="N39" s="73" t="s">
        <v>167</v>
      </c>
      <c r="O39" s="75" t="s">
        <v>220</v>
      </c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24.85" hidden="false" customHeight="false" outlineLevel="0" collapsed="false">
      <c r="B40" s="50" t="n">
        <v>10</v>
      </c>
      <c r="C40" s="51" t="s">
        <v>86</v>
      </c>
      <c r="D40" s="52" t="s">
        <v>3</v>
      </c>
      <c r="E40" s="29" t="s">
        <v>221</v>
      </c>
      <c r="F40" s="13"/>
      <c r="G40" s="13"/>
      <c r="H40" s="13"/>
      <c r="I40" s="54" t="s">
        <v>222</v>
      </c>
      <c r="J40" s="55"/>
      <c r="K40" s="50"/>
      <c r="L40" s="29" t="s">
        <v>221</v>
      </c>
      <c r="M40" s="53" t="s">
        <v>166</v>
      </c>
      <c r="N40" s="73" t="s">
        <v>167</v>
      </c>
      <c r="O40" s="75" t="s">
        <v>223</v>
      </c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24.85" hidden="false" customHeight="false" outlineLevel="0" collapsed="false">
      <c r="B41" s="50" t="n">
        <v>11</v>
      </c>
      <c r="C41" s="51" t="s">
        <v>86</v>
      </c>
      <c r="D41" s="52" t="s">
        <v>3</v>
      </c>
      <c r="E41" s="29" t="s">
        <v>224</v>
      </c>
      <c r="F41" s="13"/>
      <c r="G41" s="13"/>
      <c r="H41" s="13"/>
      <c r="I41" s="54" t="s">
        <v>225</v>
      </c>
      <c r="J41" s="55"/>
      <c r="K41" s="50"/>
      <c r="L41" s="29" t="s">
        <v>224</v>
      </c>
      <c r="M41" s="53" t="s">
        <v>166</v>
      </c>
      <c r="N41" s="73" t="s">
        <v>167</v>
      </c>
      <c r="O41" s="75" t="s">
        <v>226</v>
      </c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24.85" hidden="false" customHeight="false" outlineLevel="0" collapsed="false">
      <c r="B42" s="50" t="n">
        <v>12</v>
      </c>
      <c r="C42" s="51" t="s">
        <v>86</v>
      </c>
      <c r="D42" s="52" t="s">
        <v>3</v>
      </c>
      <c r="E42" s="29" t="s">
        <v>82</v>
      </c>
      <c r="F42" s="13"/>
      <c r="G42" s="13"/>
      <c r="H42" s="13"/>
      <c r="I42" s="54" t="s">
        <v>190</v>
      </c>
      <c r="J42" s="55"/>
      <c r="K42" s="50"/>
      <c r="L42" s="29" t="s">
        <v>82</v>
      </c>
      <c r="M42" s="53" t="s">
        <v>166</v>
      </c>
      <c r="N42" s="73" t="s">
        <v>167</v>
      </c>
      <c r="O42" s="75" t="s">
        <v>188</v>
      </c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24.85" hidden="false" customHeight="false" outlineLevel="0" collapsed="false">
      <c r="B43" s="50" t="n">
        <v>13</v>
      </c>
      <c r="C43" s="51" t="s">
        <v>86</v>
      </c>
      <c r="D43" s="52" t="s">
        <v>3</v>
      </c>
      <c r="E43" s="29" t="s">
        <v>227</v>
      </c>
      <c r="F43" s="13"/>
      <c r="G43" s="13"/>
      <c r="H43" s="13"/>
      <c r="I43" s="54" t="s">
        <v>228</v>
      </c>
      <c r="J43" s="55"/>
      <c r="K43" s="50"/>
      <c r="L43" s="29" t="s">
        <v>227</v>
      </c>
      <c r="M43" s="53" t="s">
        <v>166</v>
      </c>
      <c r="N43" s="73" t="s">
        <v>167</v>
      </c>
      <c r="O43" s="75" t="s">
        <v>229</v>
      </c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24.85" hidden="false" customHeight="false" outlineLevel="0" collapsed="false">
      <c r="B44" s="50" t="n">
        <v>14</v>
      </c>
      <c r="C44" s="51" t="s">
        <v>86</v>
      </c>
      <c r="D44" s="52" t="s">
        <v>62</v>
      </c>
      <c r="E44" s="29" t="s">
        <v>230</v>
      </c>
      <c r="F44" s="13"/>
      <c r="G44" s="13"/>
      <c r="H44" s="13"/>
      <c r="I44" s="54" t="s">
        <v>192</v>
      </c>
      <c r="J44" s="55"/>
      <c r="K44" s="50"/>
      <c r="L44" s="29" t="s">
        <v>230</v>
      </c>
      <c r="M44" s="53" t="s">
        <v>166</v>
      </c>
      <c r="N44" s="73" t="s">
        <v>167</v>
      </c>
      <c r="O44" s="75" t="s">
        <v>193</v>
      </c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24.85" hidden="false" customHeight="false" outlineLevel="0" collapsed="false">
      <c r="B45" s="50" t="n">
        <v>15</v>
      </c>
      <c r="C45" s="51" t="s">
        <v>86</v>
      </c>
      <c r="D45" s="52" t="s">
        <v>3</v>
      </c>
      <c r="E45" s="29" t="s">
        <v>231</v>
      </c>
      <c r="F45" s="13"/>
      <c r="G45" s="13"/>
      <c r="H45" s="13"/>
      <c r="I45" s="54" t="s">
        <v>232</v>
      </c>
      <c r="J45" s="55"/>
      <c r="K45" s="50"/>
      <c r="L45" s="29" t="s">
        <v>231</v>
      </c>
      <c r="M45" s="53" t="s">
        <v>166</v>
      </c>
      <c r="N45" s="73" t="s">
        <v>167</v>
      </c>
      <c r="O45" s="75" t="s">
        <v>233</v>
      </c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50" t="n">
        <v>16</v>
      </c>
      <c r="C46" s="51" t="s">
        <v>86</v>
      </c>
      <c r="D46" s="52" t="s">
        <v>3</v>
      </c>
      <c r="E46" s="74"/>
      <c r="F46" s="13"/>
      <c r="G46" s="13"/>
      <c r="H46" s="13"/>
      <c r="I46" s="54"/>
      <c r="J46" s="55"/>
      <c r="K46" s="50"/>
      <c r="L46" s="56"/>
      <c r="M46" s="53"/>
      <c r="N46" s="57"/>
      <c r="O46" s="56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24.85" hidden="false" customHeight="false" outlineLevel="0" collapsed="false">
      <c r="B47" s="50" t="n">
        <v>17</v>
      </c>
      <c r="C47" s="51" t="s">
        <v>86</v>
      </c>
      <c r="D47" s="52" t="s">
        <v>3</v>
      </c>
      <c r="E47" s="29" t="s">
        <v>234</v>
      </c>
      <c r="F47" s="13"/>
      <c r="G47" s="13"/>
      <c r="H47" s="13"/>
      <c r="I47" s="54" t="s">
        <v>179</v>
      </c>
      <c r="J47" s="55"/>
      <c r="K47" s="50"/>
      <c r="L47" s="29" t="s">
        <v>234</v>
      </c>
      <c r="M47" s="53" t="s">
        <v>166</v>
      </c>
      <c r="N47" s="73" t="s">
        <v>167</v>
      </c>
      <c r="O47" s="75" t="s">
        <v>181</v>
      </c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24.85" hidden="false" customHeight="false" outlineLevel="0" collapsed="false">
      <c r="B48" s="50" t="n">
        <v>18</v>
      </c>
      <c r="C48" s="51" t="s">
        <v>86</v>
      </c>
      <c r="D48" s="52" t="s">
        <v>3</v>
      </c>
      <c r="E48" s="29" t="s">
        <v>235</v>
      </c>
      <c r="F48" s="13"/>
      <c r="G48" s="13"/>
      <c r="H48" s="13"/>
      <c r="I48" s="54" t="s">
        <v>195</v>
      </c>
      <c r="J48" s="55"/>
      <c r="K48" s="50"/>
      <c r="L48" s="29" t="s">
        <v>235</v>
      </c>
      <c r="M48" s="53" t="s">
        <v>166</v>
      </c>
      <c r="N48" s="73" t="s">
        <v>167</v>
      </c>
      <c r="O48" s="75" t="s">
        <v>198</v>
      </c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24.85" hidden="false" customHeight="false" outlineLevel="0" collapsed="false">
      <c r="B49" s="50" t="n">
        <v>19</v>
      </c>
      <c r="C49" s="51" t="s">
        <v>86</v>
      </c>
      <c r="D49" s="52" t="s">
        <v>3</v>
      </c>
      <c r="E49" s="29" t="s">
        <v>236</v>
      </c>
      <c r="F49" s="13"/>
      <c r="G49" s="13"/>
      <c r="H49" s="13"/>
      <c r="I49" s="54" t="s">
        <v>222</v>
      </c>
      <c r="J49" s="55"/>
      <c r="K49" s="50"/>
      <c r="L49" s="29" t="s">
        <v>236</v>
      </c>
      <c r="M49" s="53" t="s">
        <v>166</v>
      </c>
      <c r="N49" s="73" t="s">
        <v>167</v>
      </c>
      <c r="O49" s="75" t="s">
        <v>223</v>
      </c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50" t="n">
        <v>20</v>
      </c>
      <c r="C50" s="51" t="s">
        <v>86</v>
      </c>
      <c r="D50" s="52" t="s">
        <v>3</v>
      </c>
      <c r="E50" s="29" t="s">
        <v>237</v>
      </c>
      <c r="F50" s="13"/>
      <c r="G50" s="13"/>
      <c r="H50" s="13"/>
      <c r="I50" s="54" t="s">
        <v>222</v>
      </c>
      <c r="J50" s="55"/>
      <c r="K50" s="50"/>
      <c r="L50" s="29" t="s">
        <v>237</v>
      </c>
      <c r="M50" s="53" t="s">
        <v>53</v>
      </c>
      <c r="N50" s="57" t="s">
        <v>160</v>
      </c>
      <c r="O50" s="75" t="s">
        <v>223</v>
      </c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24.85" hidden="false" customHeight="false" outlineLevel="0" collapsed="false">
      <c r="B51" s="50" t="n">
        <v>21</v>
      </c>
      <c r="C51" s="51" t="s">
        <v>86</v>
      </c>
      <c r="D51" s="52" t="s">
        <v>3</v>
      </c>
      <c r="E51" s="76" t="s">
        <v>238</v>
      </c>
      <c r="F51" s="13"/>
      <c r="G51" s="13"/>
      <c r="H51" s="13"/>
      <c r="I51" s="54" t="s">
        <v>205</v>
      </c>
      <c r="J51" s="55"/>
      <c r="K51" s="50"/>
      <c r="L51" s="56" t="s">
        <v>238</v>
      </c>
      <c r="M51" s="53" t="s">
        <v>53</v>
      </c>
      <c r="N51" s="73" t="s">
        <v>207</v>
      </c>
      <c r="O51" s="75" t="s">
        <v>208</v>
      </c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24.85" hidden="false" customHeight="false" outlineLevel="0" collapsed="false">
      <c r="B52" s="50" t="n">
        <v>22</v>
      </c>
      <c r="C52" s="51" t="s">
        <v>86</v>
      </c>
      <c r="D52" s="52" t="s">
        <v>3</v>
      </c>
      <c r="E52" s="29" t="s">
        <v>239</v>
      </c>
      <c r="F52" s="13"/>
      <c r="G52" s="13"/>
      <c r="H52" s="13"/>
      <c r="I52" s="54" t="s">
        <v>205</v>
      </c>
      <c r="J52" s="55"/>
      <c r="K52" s="50"/>
      <c r="L52" s="29" t="s">
        <v>239</v>
      </c>
      <c r="M52" s="53" t="s">
        <v>166</v>
      </c>
      <c r="N52" s="73" t="s">
        <v>167</v>
      </c>
      <c r="O52" s="75" t="s">
        <v>208</v>
      </c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24.85" hidden="false" customHeight="false" outlineLevel="0" collapsed="false">
      <c r="B53" s="50" t="n">
        <v>23</v>
      </c>
      <c r="C53" s="51" t="s">
        <v>86</v>
      </c>
      <c r="D53" s="52" t="s">
        <v>3</v>
      </c>
      <c r="E53" s="29" t="s">
        <v>240</v>
      </c>
      <c r="F53" s="13"/>
      <c r="G53" s="13"/>
      <c r="H53" s="13"/>
      <c r="I53" s="54" t="s">
        <v>205</v>
      </c>
      <c r="J53" s="55"/>
      <c r="K53" s="50"/>
      <c r="L53" s="29" t="s">
        <v>240</v>
      </c>
      <c r="M53" s="53" t="s">
        <v>166</v>
      </c>
      <c r="N53" s="73" t="s">
        <v>167</v>
      </c>
      <c r="O53" s="75" t="s">
        <v>208</v>
      </c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24.85" hidden="false" customHeight="false" outlineLevel="0" collapsed="false">
      <c r="B54" s="50" t="n">
        <v>24</v>
      </c>
      <c r="C54" s="51" t="s">
        <v>86</v>
      </c>
      <c r="D54" s="52" t="s">
        <v>3</v>
      </c>
      <c r="E54" s="29" t="s">
        <v>241</v>
      </c>
      <c r="F54" s="13"/>
      <c r="G54" s="13"/>
      <c r="H54" s="13"/>
      <c r="I54" s="54" t="s">
        <v>205</v>
      </c>
      <c r="J54" s="55"/>
      <c r="K54" s="50"/>
      <c r="L54" s="56" t="s">
        <v>242</v>
      </c>
      <c r="M54" s="53" t="s">
        <v>166</v>
      </c>
      <c r="N54" s="73" t="s">
        <v>167</v>
      </c>
      <c r="O54" s="75" t="s">
        <v>208</v>
      </c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54" type="whole">
      <formula1>0</formula1>
      <formula2>1000</formula2>
    </dataValidation>
    <dataValidation allowBlank="true" operator="equal" showDropDown="false" showErrorMessage="true" showInputMessage="false" sqref="J7:J54" type="list">
      <formula1>"K,L3,L2,L1"</formula1>
      <formula2>0</formula2>
    </dataValidation>
    <dataValidation allowBlank="true" operator="equal" showDropDown="false" showErrorMessage="true" showInputMessage="false" sqref="K7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B7" activeCellId="1" sqref="N25 B7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243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36.45" hidden="false" customHeight="false" outlineLevel="0" collapsed="false">
      <c r="B7" s="50" t="n">
        <v>1</v>
      </c>
      <c r="C7" s="51" t="s">
        <v>45</v>
      </c>
      <c r="D7" s="52" t="s">
        <v>3</v>
      </c>
      <c r="E7" s="53" t="s">
        <v>244</v>
      </c>
      <c r="F7" s="13"/>
      <c r="G7" s="13"/>
      <c r="H7" s="13"/>
      <c r="I7" s="77" t="s">
        <v>243</v>
      </c>
      <c r="J7" s="55"/>
      <c r="K7" s="50"/>
      <c r="L7" s="53" t="s">
        <v>244</v>
      </c>
      <c r="M7" s="53" t="s">
        <v>166</v>
      </c>
      <c r="N7" s="73" t="s">
        <v>245</v>
      </c>
      <c r="O7" s="56"/>
      <c r="P7" s="29" t="s">
        <v>246</v>
      </c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36.45" hidden="false" customHeight="false" outlineLevel="0" collapsed="false">
      <c r="B8" s="50" t="n">
        <v>2</v>
      </c>
      <c r="C8" s="51" t="s">
        <v>45</v>
      </c>
      <c r="D8" s="52" t="s">
        <v>3</v>
      </c>
      <c r="E8" s="53" t="s">
        <v>247</v>
      </c>
      <c r="F8" s="13"/>
      <c r="G8" s="13"/>
      <c r="H8" s="13"/>
      <c r="I8" s="77" t="s">
        <v>243</v>
      </c>
      <c r="J8" s="55"/>
      <c r="K8" s="50"/>
      <c r="L8" s="53" t="s">
        <v>247</v>
      </c>
      <c r="M8" s="53" t="s">
        <v>166</v>
      </c>
      <c r="N8" s="73" t="s">
        <v>248</v>
      </c>
      <c r="O8" s="56"/>
      <c r="P8" s="29" t="s">
        <v>246</v>
      </c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24.85" hidden="false" customHeight="false" outlineLevel="0" collapsed="false">
      <c r="B9" s="50" t="n">
        <v>3</v>
      </c>
      <c r="C9" s="51" t="s">
        <v>45</v>
      </c>
      <c r="D9" s="52" t="s">
        <v>3</v>
      </c>
      <c r="E9" s="29" t="s">
        <v>249</v>
      </c>
      <c r="F9" s="13"/>
      <c r="G9" s="13"/>
      <c r="H9" s="13"/>
      <c r="I9" s="77" t="s">
        <v>243</v>
      </c>
      <c r="J9" s="55"/>
      <c r="K9" s="50"/>
      <c r="L9" s="29" t="s">
        <v>249</v>
      </c>
      <c r="M9" s="53" t="s">
        <v>166</v>
      </c>
      <c r="N9" s="73" t="s">
        <v>250</v>
      </c>
      <c r="O9" s="56"/>
      <c r="P9" s="29" t="s">
        <v>246</v>
      </c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36.45" hidden="false" customHeight="false" outlineLevel="0" collapsed="false">
      <c r="B10" s="50" t="n">
        <v>4</v>
      </c>
      <c r="C10" s="51" t="s">
        <v>45</v>
      </c>
      <c r="D10" s="52" t="s">
        <v>3</v>
      </c>
      <c r="E10" s="29" t="s">
        <v>251</v>
      </c>
      <c r="F10" s="13"/>
      <c r="G10" s="13"/>
      <c r="H10" s="13"/>
      <c r="I10" s="77" t="s">
        <v>243</v>
      </c>
      <c r="J10" s="55"/>
      <c r="K10" s="50"/>
      <c r="L10" s="56" t="s">
        <v>252</v>
      </c>
      <c r="M10" s="53" t="s">
        <v>166</v>
      </c>
      <c r="N10" s="73" t="s">
        <v>253</v>
      </c>
      <c r="O10" s="56"/>
      <c r="P10" s="29" t="s">
        <v>246</v>
      </c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3.25" hidden="false" customHeight="false" outlineLevel="0" collapsed="false">
      <c r="B11" s="50" t="n">
        <v>5</v>
      </c>
      <c r="C11" s="51" t="s">
        <v>45</v>
      </c>
      <c r="D11" s="52" t="s">
        <v>3</v>
      </c>
      <c r="E11" s="29" t="s">
        <v>254</v>
      </c>
      <c r="F11" s="13"/>
      <c r="G11" s="13"/>
      <c r="H11" s="13" t="s">
        <v>255</v>
      </c>
      <c r="I11" s="77" t="s">
        <v>243</v>
      </c>
      <c r="J11" s="55"/>
      <c r="K11" s="50"/>
      <c r="L11" s="56" t="s">
        <v>256</v>
      </c>
      <c r="M11" s="53" t="s">
        <v>257</v>
      </c>
      <c r="N11" s="57" t="s">
        <v>258</v>
      </c>
      <c r="O11" s="56"/>
      <c r="P11" s="29" t="s">
        <v>246</v>
      </c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3.25" hidden="false" customHeight="false" outlineLevel="0" collapsed="false">
      <c r="B12" s="50" t="n">
        <v>6</v>
      </c>
      <c r="C12" s="51" t="s">
        <v>45</v>
      </c>
      <c r="D12" s="52" t="s">
        <v>62</v>
      </c>
      <c r="E12" s="29"/>
      <c r="F12" s="13"/>
      <c r="G12" s="13"/>
      <c r="H12" s="13"/>
      <c r="I12" s="77"/>
      <c r="J12" s="55"/>
      <c r="K12" s="50"/>
      <c r="L12" s="56"/>
      <c r="M12" s="53"/>
      <c r="N12" s="57"/>
      <c r="O12" s="56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3.25" hidden="false" customHeight="false" outlineLevel="0" collapsed="false">
      <c r="B13" s="50" t="n">
        <v>7</v>
      </c>
      <c r="C13" s="51" t="s">
        <v>45</v>
      </c>
      <c r="D13" s="52" t="s">
        <v>62</v>
      </c>
      <c r="E13" s="29"/>
      <c r="F13" s="13"/>
      <c r="G13" s="13"/>
      <c r="H13" s="13"/>
      <c r="I13" s="77"/>
      <c r="J13" s="55"/>
      <c r="K13" s="50"/>
      <c r="L13" s="56"/>
      <c r="M13" s="53"/>
      <c r="N13" s="57"/>
      <c r="O13" s="56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3.25" hidden="false" customHeight="false" outlineLevel="0" collapsed="false">
      <c r="B14" s="50" t="n">
        <v>8</v>
      </c>
      <c r="C14" s="51" t="s">
        <v>45</v>
      </c>
      <c r="D14" s="52" t="s">
        <v>62</v>
      </c>
      <c r="E14" s="29"/>
      <c r="F14" s="13"/>
      <c r="G14" s="13"/>
      <c r="H14" s="13"/>
      <c r="I14" s="77"/>
      <c r="J14" s="55"/>
      <c r="K14" s="50"/>
      <c r="L14" s="56"/>
      <c r="M14" s="53"/>
      <c r="N14" s="57"/>
      <c r="O14" s="56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3.25" hidden="false" customHeight="false" outlineLevel="0" collapsed="false">
      <c r="B15" s="50" t="n">
        <v>9</v>
      </c>
      <c r="C15" s="51" t="s">
        <v>45</v>
      </c>
      <c r="D15" s="52" t="s">
        <v>62</v>
      </c>
      <c r="E15" s="29"/>
      <c r="F15" s="13"/>
      <c r="G15" s="13"/>
      <c r="H15" s="13"/>
      <c r="I15" s="77"/>
      <c r="J15" s="55"/>
      <c r="K15" s="50"/>
      <c r="L15" s="56"/>
      <c r="M15" s="53"/>
      <c r="N15" s="57"/>
      <c r="O15" s="56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3.25" hidden="false" customHeight="false" outlineLevel="0" collapsed="false">
      <c r="B16" s="50" t="n">
        <v>10</v>
      </c>
      <c r="C16" s="51" t="s">
        <v>45</v>
      </c>
      <c r="D16" s="52" t="s">
        <v>62</v>
      </c>
      <c r="E16" s="29"/>
      <c r="F16" s="13"/>
      <c r="G16" s="13"/>
      <c r="H16" s="13"/>
      <c r="I16" s="77"/>
      <c r="J16" s="55"/>
      <c r="K16" s="50"/>
      <c r="L16" s="56"/>
      <c r="M16" s="53"/>
      <c r="N16" s="57"/>
      <c r="O16" s="56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50" t="n">
        <v>23</v>
      </c>
      <c r="C17" s="51" t="s">
        <v>45</v>
      </c>
      <c r="D17" s="52" t="s">
        <v>62</v>
      </c>
      <c r="E17" s="29"/>
      <c r="F17" s="13"/>
      <c r="G17" s="13"/>
      <c r="H17" s="13"/>
      <c r="I17" s="77"/>
      <c r="J17" s="55"/>
      <c r="K17" s="50"/>
      <c r="L17" s="56"/>
      <c r="M17" s="29"/>
      <c r="N17" s="57"/>
      <c r="O17" s="56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50" t="n">
        <v>24</v>
      </c>
      <c r="C18" s="51" t="s">
        <v>45</v>
      </c>
      <c r="D18" s="52" t="s">
        <v>62</v>
      </c>
      <c r="E18" s="29"/>
      <c r="F18" s="13"/>
      <c r="G18" s="13"/>
      <c r="H18" s="13"/>
      <c r="I18" s="77"/>
      <c r="J18" s="55"/>
      <c r="K18" s="50"/>
      <c r="L18" s="56"/>
      <c r="M18" s="29"/>
      <c r="N18" s="57"/>
      <c r="O18" s="56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3.25" hidden="false" customHeight="false" outlineLevel="0" collapsed="false">
      <c r="B19" s="50" t="n">
        <v>1</v>
      </c>
      <c r="C19" s="51" t="s">
        <v>86</v>
      </c>
      <c r="D19" s="52" t="s">
        <v>62</v>
      </c>
      <c r="E19" s="53" t="s">
        <v>259</v>
      </c>
      <c r="F19" s="13"/>
      <c r="G19" s="13"/>
      <c r="H19" s="13"/>
      <c r="I19" s="77" t="s">
        <v>260</v>
      </c>
      <c r="J19" s="55"/>
      <c r="K19" s="50"/>
      <c r="L19" s="53" t="s">
        <v>261</v>
      </c>
      <c r="M19" s="53" t="s">
        <v>166</v>
      </c>
      <c r="N19" s="73" t="s">
        <v>262</v>
      </c>
      <c r="O19" s="56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4.85" hidden="false" customHeight="false" outlineLevel="0" collapsed="false">
      <c r="B20" s="50" t="n">
        <v>2</v>
      </c>
      <c r="C20" s="51" t="s">
        <v>86</v>
      </c>
      <c r="D20" s="52" t="s">
        <v>62</v>
      </c>
      <c r="E20" s="53" t="s">
        <v>263</v>
      </c>
      <c r="F20" s="13"/>
      <c r="G20" s="13"/>
      <c r="H20" s="13"/>
      <c r="I20" s="77" t="s">
        <v>260</v>
      </c>
      <c r="J20" s="55"/>
      <c r="K20" s="50"/>
      <c r="L20" s="53" t="s">
        <v>264</v>
      </c>
      <c r="M20" s="53" t="s">
        <v>166</v>
      </c>
      <c r="N20" s="73" t="s">
        <v>265</v>
      </c>
      <c r="O20" s="56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24.85" hidden="false" customHeight="false" outlineLevel="0" collapsed="false">
      <c r="B21" s="50" t="n">
        <v>3</v>
      </c>
      <c r="C21" s="51" t="s">
        <v>86</v>
      </c>
      <c r="D21" s="52" t="s">
        <v>62</v>
      </c>
      <c r="E21" s="29" t="s">
        <v>266</v>
      </c>
      <c r="F21" s="13"/>
      <c r="G21" s="13"/>
      <c r="H21" s="13"/>
      <c r="I21" s="77" t="s">
        <v>260</v>
      </c>
      <c r="J21" s="55"/>
      <c r="K21" s="50"/>
      <c r="L21" s="29" t="s">
        <v>267</v>
      </c>
      <c r="M21" s="53" t="s">
        <v>166</v>
      </c>
      <c r="N21" s="73" t="s">
        <v>268</v>
      </c>
      <c r="O21" s="56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24.85" hidden="false" customHeight="false" outlineLevel="0" collapsed="false">
      <c r="B22" s="50" t="n">
        <v>4</v>
      </c>
      <c r="C22" s="51" t="s">
        <v>86</v>
      </c>
      <c r="D22" s="52" t="s">
        <v>62</v>
      </c>
      <c r="E22" s="29" t="s">
        <v>269</v>
      </c>
      <c r="F22" s="13"/>
      <c r="G22" s="13"/>
      <c r="H22" s="13"/>
      <c r="I22" s="77" t="s">
        <v>260</v>
      </c>
      <c r="J22" s="55"/>
      <c r="K22" s="50"/>
      <c r="L22" s="29" t="s">
        <v>270</v>
      </c>
      <c r="M22" s="53" t="s">
        <v>166</v>
      </c>
      <c r="N22" s="73" t="s">
        <v>265</v>
      </c>
      <c r="O22" s="56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3.25" hidden="false" customHeight="false" outlineLevel="0" collapsed="false">
      <c r="B23" s="50" t="n">
        <v>5</v>
      </c>
      <c r="C23" s="51" t="s">
        <v>86</v>
      </c>
      <c r="D23" s="52" t="s">
        <v>3</v>
      </c>
      <c r="E23" s="29"/>
      <c r="F23" s="13"/>
      <c r="G23" s="13"/>
      <c r="H23" s="13"/>
      <c r="I23" s="54"/>
      <c r="J23" s="55"/>
      <c r="K23" s="50"/>
      <c r="L23" s="64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3.25" hidden="false" customHeight="false" outlineLevel="0" collapsed="false">
      <c r="B24" s="50" t="n">
        <v>6</v>
      </c>
      <c r="C24" s="51" t="s">
        <v>86</v>
      </c>
      <c r="D24" s="52" t="s">
        <v>3</v>
      </c>
      <c r="E24" s="29"/>
      <c r="F24" s="13"/>
      <c r="G24" s="13"/>
      <c r="H24" s="13"/>
      <c r="I24" s="54"/>
      <c r="J24" s="55"/>
      <c r="K24" s="50"/>
      <c r="L24" s="64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3.25" hidden="false" customHeight="false" outlineLevel="0" collapsed="false">
      <c r="B25" s="50" t="n">
        <v>7</v>
      </c>
      <c r="C25" s="51" t="s">
        <v>86</v>
      </c>
      <c r="D25" s="52" t="s">
        <v>3</v>
      </c>
      <c r="E25" s="29"/>
      <c r="F25" s="13"/>
      <c r="G25" s="13"/>
      <c r="H25" s="13"/>
      <c r="I25" s="54"/>
      <c r="J25" s="55"/>
      <c r="K25" s="50"/>
      <c r="L25" s="64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3.25" hidden="false" customHeight="false" outlineLevel="0" collapsed="false">
      <c r="B26" s="50" t="n">
        <v>8</v>
      </c>
      <c r="C26" s="51" t="s">
        <v>86</v>
      </c>
      <c r="D26" s="52" t="s">
        <v>3</v>
      </c>
      <c r="E26" s="29"/>
      <c r="F26" s="13"/>
      <c r="G26" s="13"/>
      <c r="H26" s="13"/>
      <c r="I26" s="54"/>
      <c r="J26" s="55"/>
      <c r="K26" s="50"/>
      <c r="L26" s="64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3.25" hidden="false" customHeight="false" outlineLevel="0" collapsed="false">
      <c r="B27" s="50" t="n">
        <v>9</v>
      </c>
      <c r="C27" s="51" t="s">
        <v>86</v>
      </c>
      <c r="D27" s="52" t="s">
        <v>3</v>
      </c>
      <c r="E27" s="29"/>
      <c r="F27" s="13"/>
      <c r="G27" s="13"/>
      <c r="H27" s="13"/>
      <c r="I27" s="54"/>
      <c r="J27" s="55"/>
      <c r="K27" s="50"/>
      <c r="L27" s="64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3.25" hidden="false" customHeight="false" outlineLevel="0" collapsed="false">
      <c r="B28" s="50" t="n">
        <v>10</v>
      </c>
      <c r="C28" s="51" t="s">
        <v>86</v>
      </c>
      <c r="D28" s="52" t="s">
        <v>3</v>
      </c>
      <c r="E28" s="29"/>
      <c r="F28" s="13"/>
      <c r="G28" s="13"/>
      <c r="H28" s="13"/>
      <c r="I28" s="54"/>
      <c r="J28" s="55"/>
      <c r="K28" s="50"/>
      <c r="L28" s="64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3.25" hidden="false" customHeight="false" outlineLevel="0" collapsed="false">
      <c r="B29" s="50" t="n">
        <v>23</v>
      </c>
      <c r="C29" s="51" t="s">
        <v>86</v>
      </c>
      <c r="D29" s="52" t="s">
        <v>3</v>
      </c>
      <c r="E29" s="29"/>
      <c r="F29" s="13"/>
      <c r="G29" s="13"/>
      <c r="H29" s="13"/>
      <c r="I29" s="54"/>
      <c r="J29" s="55"/>
      <c r="K29" s="50"/>
      <c r="L29" s="64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3.25" hidden="false" customHeight="false" outlineLevel="0" collapsed="false">
      <c r="B30" s="50" t="n">
        <v>24</v>
      </c>
      <c r="C30" s="51" t="s">
        <v>86</v>
      </c>
      <c r="D30" s="52" t="s">
        <v>3</v>
      </c>
      <c r="E30" s="29"/>
      <c r="F30" s="13"/>
      <c r="G30" s="13"/>
      <c r="H30" s="13"/>
      <c r="I30" s="54"/>
      <c r="J30" s="55"/>
      <c r="K30" s="50"/>
      <c r="L30" s="64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4">
    <dataValidation allowBlank="true" operator="equal" showDropDown="false" showErrorMessage="true" showInputMessage="false" sqref="W6:AB30" type="list">
      <formula1>"True,False"</formula1>
      <formula2>0</formula2>
    </dataValidation>
    <dataValidation allowBlank="true" operator="equal" showDropDown="false" showErrorMessage="true" showInputMessage="false" sqref="J6 J23:J30" type="list">
      <formula1>"K,L3,L2,L1"</formula1>
      <formula2>0</formula2>
    </dataValidation>
    <dataValidation allowBlank="true" operator="equal" showDropDown="false" showErrorMessage="true" showInputMessage="false" sqref="K6 K23:K30" type="list">
      <formula1>"unfocused,focused"</formula1>
      <formula2>0</formula2>
    </dataValidation>
    <dataValidation allowBlank="true" operator="between" showDropDown="false" showErrorMessage="true" showInputMessage="false" sqref="F6 F23:F30" type="whole">
      <formula1>0</formula1>
      <formula2>1000</formula2>
    </dataValidation>
    <dataValidation allowBlank="true" operator="between" showDropDown="false" showErrorMessage="true" showInputMessage="false" sqref="B7:B22" type="whole">
      <formula1>1</formula1>
      <formula2>24</formula2>
    </dataValidation>
    <dataValidation allowBlank="true" operator="equal" showDropDown="false" showErrorMessage="true" showInputMessage="false" sqref="K2 D6 D23:D30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 C23:C30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R6:V6 S7:V30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22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22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22" type="list">
      <formula1>"Yes,No"</formula1>
      <formula2>0</formula2>
    </dataValidation>
    <dataValidation allowBlank="true" operator="between" showDropDown="false" showErrorMessage="true" showInputMessage="false" sqref="F7:F22" type="whole">
      <formula1>0</formula1>
      <formula2>1000</formula2>
    </dataValidation>
    <dataValidation allowBlank="true" operator="equal" showDropDown="false" showErrorMessage="true" showInputMessage="false" sqref="J7:J22" type="list">
      <formula1>"K,L3,L2,L1"</formula1>
      <formula2>0</formula2>
    </dataValidation>
    <dataValidation allowBlank="true" operator="equal" showDropDown="false" showErrorMessage="true" showInputMessage="false" sqref="K7:K22" type="list">
      <formula1>"unfocused,focused"</formula1>
      <formula2>0</formula2>
    </dataValidation>
    <dataValidation allowBlank="true" operator="equal" showDropDown="false" showErrorMessage="true" showInputMessage="false" sqref="C7:C22" type="list">
      <formula1>"Outer,Inner,"</formula1>
      <formula2>0</formula2>
    </dataValidation>
    <dataValidation allowBlank="true" operator="between" showDropDown="false" showErrorMessage="true" showInputMessage="false" sqref="S31:V48" type="none">
      <formula1>-150</formula1>
      <formula2>150</formula2>
    </dataValidation>
    <dataValidation allowBlank="true" operator="between" showDropDown="false" showErrorMessage="true" showInputMessage="false" sqref="B23:B30" type="whole">
      <formula1>1</formula1>
      <formula2>24</formula2>
    </dataValidation>
    <dataValidation allowBlank="true" operator="equal" showDropDown="false" showErrorMessage="true" showInputMessage="false" sqref="H23:H3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23:I3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H15" activeCellId="1" sqref="N25 H15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271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69" t="n">
        <v>1</v>
      </c>
      <c r="C7" s="78" t="s">
        <v>45</v>
      </c>
      <c r="D7" s="79" t="s">
        <v>62</v>
      </c>
      <c r="E7" s="71" t="s">
        <v>272</v>
      </c>
      <c r="F7" s="66"/>
      <c r="G7" s="66"/>
      <c r="H7" s="66"/>
      <c r="I7" s="67"/>
      <c r="J7" s="68"/>
      <c r="K7" s="69"/>
      <c r="L7" s="70" t="s">
        <v>273</v>
      </c>
      <c r="M7" s="71" t="s">
        <v>53</v>
      </c>
      <c r="N7" s="72"/>
      <c r="O7" s="70"/>
      <c r="P7" s="65"/>
      <c r="Q7" s="80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69" t="n">
        <v>2</v>
      </c>
      <c r="C8" s="78" t="s">
        <v>45</v>
      </c>
      <c r="D8" s="79" t="s">
        <v>62</v>
      </c>
      <c r="E8" s="71" t="s">
        <v>274</v>
      </c>
      <c r="F8" s="66"/>
      <c r="G8" s="66"/>
      <c r="H8" s="66"/>
      <c r="I8" s="67"/>
      <c r="J8" s="68"/>
      <c r="K8" s="69"/>
      <c r="L8" s="70" t="s">
        <v>275</v>
      </c>
      <c r="M8" s="71" t="s">
        <v>53</v>
      </c>
      <c r="N8" s="72"/>
      <c r="O8" s="70"/>
      <c r="P8" s="65"/>
      <c r="Q8" s="80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69" t="n">
        <v>3</v>
      </c>
      <c r="C9" s="78" t="s">
        <v>45</v>
      </c>
      <c r="D9" s="79" t="s">
        <v>62</v>
      </c>
      <c r="E9" s="65" t="s">
        <v>276</v>
      </c>
      <c r="F9" s="66"/>
      <c r="G9" s="66"/>
      <c r="H9" s="66"/>
      <c r="I9" s="67"/>
      <c r="J9" s="68"/>
      <c r="K9" s="69"/>
      <c r="L9" s="70" t="s">
        <v>277</v>
      </c>
      <c r="M9" s="71"/>
      <c r="N9" s="72"/>
      <c r="O9" s="70"/>
      <c r="P9" s="65"/>
      <c r="Q9" s="80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69" t="n">
        <v>4</v>
      </c>
      <c r="C10" s="78" t="s">
        <v>45</v>
      </c>
      <c r="D10" s="79" t="s">
        <v>62</v>
      </c>
      <c r="E10" s="65" t="s">
        <v>278</v>
      </c>
      <c r="F10" s="66"/>
      <c r="G10" s="66"/>
      <c r="H10" s="66"/>
      <c r="I10" s="67"/>
      <c r="J10" s="68"/>
      <c r="K10" s="69"/>
      <c r="L10" s="70" t="s">
        <v>279</v>
      </c>
      <c r="M10" s="71" t="s">
        <v>53</v>
      </c>
      <c r="N10" s="72"/>
      <c r="O10" s="70"/>
      <c r="P10" s="65"/>
      <c r="Q10" s="80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6.4" hidden="false" customHeight="true" outlineLevel="0" collapsed="false">
      <c r="B11" s="69" t="n">
        <v>5</v>
      </c>
      <c r="C11" s="78" t="s">
        <v>45</v>
      </c>
      <c r="D11" s="79" t="s">
        <v>62</v>
      </c>
      <c r="E11" s="81" t="s">
        <v>280</v>
      </c>
      <c r="F11" s="81"/>
      <c r="G11" s="81"/>
      <c r="H11" s="81"/>
      <c r="I11" s="81"/>
      <c r="J11" s="81"/>
      <c r="K11" s="81"/>
      <c r="L11" s="81" t="s">
        <v>281</v>
      </c>
      <c r="M11" s="71" t="s">
        <v>108</v>
      </c>
      <c r="N11" s="81"/>
      <c r="O11" s="70"/>
      <c r="P11" s="65"/>
      <c r="Q11" s="80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24.85" hidden="false" customHeight="false" outlineLevel="0" collapsed="false">
      <c r="B12" s="69" t="n">
        <v>6</v>
      </c>
      <c r="C12" s="78" t="s">
        <v>45</v>
      </c>
      <c r="D12" s="79" t="s">
        <v>62</v>
      </c>
      <c r="E12" s="65" t="s">
        <v>282</v>
      </c>
      <c r="F12" s="66"/>
      <c r="G12" s="66"/>
      <c r="H12" s="66"/>
      <c r="I12" s="67"/>
      <c r="J12" s="68"/>
      <c r="K12" s="69"/>
      <c r="L12" s="70" t="s">
        <v>283</v>
      </c>
      <c r="M12" s="71" t="s">
        <v>108</v>
      </c>
      <c r="N12" s="72" t="s">
        <v>284</v>
      </c>
      <c r="O12" s="70"/>
      <c r="P12" s="65"/>
      <c r="Q12" s="80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24.85" hidden="false" customHeight="false" outlineLevel="0" collapsed="false">
      <c r="B13" s="69" t="n">
        <v>7</v>
      </c>
      <c r="C13" s="78" t="s">
        <v>45</v>
      </c>
      <c r="D13" s="79" t="s">
        <v>62</v>
      </c>
      <c r="E13" s="65" t="s">
        <v>285</v>
      </c>
      <c r="F13" s="66"/>
      <c r="G13" s="66"/>
      <c r="H13" s="66"/>
      <c r="I13" s="67"/>
      <c r="J13" s="68"/>
      <c r="K13" s="69"/>
      <c r="L13" s="70" t="s">
        <v>286</v>
      </c>
      <c r="M13" s="71" t="s">
        <v>108</v>
      </c>
      <c r="N13" s="72" t="s">
        <v>287</v>
      </c>
      <c r="O13" s="70"/>
      <c r="P13" s="65"/>
      <c r="Q13" s="80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24.85" hidden="false" customHeight="false" outlineLevel="0" collapsed="false">
      <c r="B14" s="69" t="n">
        <v>8</v>
      </c>
      <c r="C14" s="78" t="s">
        <v>45</v>
      </c>
      <c r="D14" s="79" t="s">
        <v>62</v>
      </c>
      <c r="E14" s="65" t="s">
        <v>288</v>
      </c>
      <c r="F14" s="66"/>
      <c r="G14" s="66"/>
      <c r="H14" s="66"/>
      <c r="I14" s="67"/>
      <c r="J14" s="68"/>
      <c r="K14" s="69"/>
      <c r="L14" s="70" t="s">
        <v>289</v>
      </c>
      <c r="M14" s="71" t="s">
        <v>108</v>
      </c>
      <c r="N14" s="72" t="s">
        <v>290</v>
      </c>
      <c r="O14" s="70"/>
      <c r="P14" s="65"/>
      <c r="Q14" s="80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24.85" hidden="false" customHeight="false" outlineLevel="0" collapsed="false">
      <c r="B15" s="69" t="n">
        <v>9</v>
      </c>
      <c r="C15" s="78" t="s">
        <v>45</v>
      </c>
      <c r="D15" s="79" t="s">
        <v>3</v>
      </c>
      <c r="E15" s="82" t="s">
        <v>291</v>
      </c>
      <c r="F15" s="66"/>
      <c r="G15" s="66"/>
      <c r="H15" s="66" t="s">
        <v>292</v>
      </c>
      <c r="I15" s="67"/>
      <c r="J15" s="68"/>
      <c r="K15" s="69"/>
      <c r="L15" s="70" t="s">
        <v>293</v>
      </c>
      <c r="M15" s="71" t="s">
        <v>108</v>
      </c>
      <c r="N15" s="72" t="s">
        <v>294</v>
      </c>
      <c r="O15" s="70" t="s">
        <v>295</v>
      </c>
      <c r="P15" s="65"/>
      <c r="Q15" s="80" t="s">
        <v>296</v>
      </c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24.85" hidden="false" customHeight="false" outlineLevel="0" collapsed="false">
      <c r="B16" s="69" t="n">
        <v>10</v>
      </c>
      <c r="C16" s="78" t="s">
        <v>45</v>
      </c>
      <c r="D16" s="79" t="s">
        <v>62</v>
      </c>
      <c r="E16" s="65" t="s">
        <v>297</v>
      </c>
      <c r="F16" s="66"/>
      <c r="G16" s="66"/>
      <c r="H16" s="66"/>
      <c r="I16" s="67"/>
      <c r="J16" s="68"/>
      <c r="K16" s="69"/>
      <c r="L16" s="70" t="s">
        <v>298</v>
      </c>
      <c r="M16" s="71" t="s">
        <v>108</v>
      </c>
      <c r="N16" s="83" t="s">
        <v>299</v>
      </c>
      <c r="O16" s="70"/>
      <c r="P16" s="65"/>
      <c r="Q16" s="80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69" t="n">
        <v>2</v>
      </c>
      <c r="C17" s="78" t="s">
        <v>45</v>
      </c>
      <c r="D17" s="79" t="s">
        <v>62</v>
      </c>
      <c r="E17" s="65" t="s">
        <v>300</v>
      </c>
      <c r="F17" s="66"/>
      <c r="G17" s="66"/>
      <c r="H17" s="66" t="s">
        <v>255</v>
      </c>
      <c r="I17" s="67"/>
      <c r="J17" s="68"/>
      <c r="K17" s="69"/>
      <c r="L17" s="70" t="s">
        <v>301</v>
      </c>
      <c r="M17" s="71" t="s">
        <v>302</v>
      </c>
      <c r="N17" s="72" t="s">
        <v>303</v>
      </c>
      <c r="O17" s="70"/>
      <c r="P17" s="65"/>
      <c r="Q17" s="80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69" t="n">
        <v>11</v>
      </c>
      <c r="C18" s="78" t="s">
        <v>45</v>
      </c>
      <c r="D18" s="79" t="s">
        <v>62</v>
      </c>
      <c r="E18" s="65" t="s">
        <v>304</v>
      </c>
      <c r="F18" s="66"/>
      <c r="G18" s="66"/>
      <c r="H18" s="66"/>
      <c r="I18" s="67"/>
      <c r="J18" s="68"/>
      <c r="K18" s="69"/>
      <c r="L18" s="70" t="s">
        <v>304</v>
      </c>
      <c r="M18" s="71" t="s">
        <v>53</v>
      </c>
      <c r="N18" s="72" t="s">
        <v>160</v>
      </c>
      <c r="O18" s="70"/>
      <c r="P18" s="65"/>
      <c r="Q18" s="80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69" t="n">
        <v>12</v>
      </c>
      <c r="C19" s="78" t="s">
        <v>45</v>
      </c>
      <c r="D19" s="79" t="s">
        <v>62</v>
      </c>
      <c r="E19" s="65"/>
      <c r="F19" s="66"/>
      <c r="G19" s="66"/>
      <c r="H19" s="66"/>
      <c r="I19" s="67"/>
      <c r="J19" s="68"/>
      <c r="K19" s="69"/>
      <c r="L19" s="70"/>
      <c r="M19" s="71"/>
      <c r="N19" s="72"/>
      <c r="O19" s="70"/>
      <c r="P19" s="65"/>
      <c r="Q19" s="80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6.4" hidden="false" customHeight="true" outlineLevel="0" collapsed="false">
      <c r="B20" s="50" t="n">
        <v>14</v>
      </c>
      <c r="C20" s="51" t="s">
        <v>45</v>
      </c>
      <c r="D20" s="52" t="s">
        <v>3</v>
      </c>
      <c r="E20" s="29"/>
      <c r="F20" s="13"/>
      <c r="G20" s="13"/>
      <c r="H20" s="13"/>
      <c r="I20" s="54"/>
      <c r="J20" s="55"/>
      <c r="K20" s="50"/>
      <c r="L20" s="56"/>
      <c r="M20" s="53"/>
      <c r="N20" s="57"/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50" t="n">
        <v>15</v>
      </c>
      <c r="C21" s="51" t="s">
        <v>45</v>
      </c>
      <c r="D21" s="52" t="s">
        <v>3</v>
      </c>
      <c r="E21" s="29"/>
      <c r="F21" s="13"/>
      <c r="G21" s="13"/>
      <c r="H21" s="13"/>
      <c r="I21" s="54"/>
      <c r="J21" s="55"/>
      <c r="K21" s="50"/>
      <c r="L21" s="56"/>
      <c r="M21" s="53"/>
      <c r="N21" s="57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50" t="n">
        <v>16</v>
      </c>
      <c r="C22" s="51" t="s">
        <v>45</v>
      </c>
      <c r="D22" s="52" t="s">
        <v>3</v>
      </c>
      <c r="E22" s="29"/>
      <c r="F22" s="13"/>
      <c r="G22" s="13"/>
      <c r="H22" s="13"/>
      <c r="I22" s="54"/>
      <c r="J22" s="55"/>
      <c r="K22" s="50"/>
      <c r="M22" s="53"/>
      <c r="N22" s="57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50" t="n">
        <v>17</v>
      </c>
      <c r="C23" s="51" t="s">
        <v>45</v>
      </c>
      <c r="D23" s="52" t="s">
        <v>3</v>
      </c>
      <c r="E23" s="29"/>
      <c r="F23" s="13"/>
      <c r="G23" s="13"/>
      <c r="H23" s="13"/>
      <c r="I23" s="54"/>
      <c r="J23" s="55"/>
      <c r="K23" s="50"/>
      <c r="L23" s="56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50" t="n">
        <v>18</v>
      </c>
      <c r="C24" s="51" t="s">
        <v>45</v>
      </c>
      <c r="D24" s="52" t="s">
        <v>3</v>
      </c>
      <c r="E24" s="29"/>
      <c r="F24" s="13"/>
      <c r="G24" s="13"/>
      <c r="H24" s="13"/>
      <c r="I24" s="54"/>
      <c r="J24" s="55"/>
      <c r="K24" s="50"/>
      <c r="L24" s="56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6.4" hidden="false" customHeight="true" outlineLevel="0" collapsed="false">
      <c r="B25" s="50" t="n">
        <v>19</v>
      </c>
      <c r="C25" s="51" t="s">
        <v>45</v>
      </c>
      <c r="D25" s="52" t="s">
        <v>62</v>
      </c>
      <c r="E25" s="29"/>
      <c r="F25" s="13"/>
      <c r="G25" s="13"/>
      <c r="H25" s="13"/>
      <c r="I25" s="54"/>
      <c r="J25" s="55"/>
      <c r="K25" s="50"/>
      <c r="L25" s="56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6.4" hidden="false" customHeight="true" outlineLevel="0" collapsed="false">
      <c r="B26" s="50" t="n">
        <v>20</v>
      </c>
      <c r="C26" s="51" t="s">
        <v>45</v>
      </c>
      <c r="D26" s="52" t="s">
        <v>62</v>
      </c>
      <c r="E26" s="29"/>
      <c r="F26" s="13"/>
      <c r="G26" s="13"/>
      <c r="H26" s="13"/>
      <c r="I26" s="54"/>
      <c r="J26" s="55"/>
      <c r="K26" s="50"/>
      <c r="L26" s="29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6.4" hidden="false" customHeight="true" outlineLevel="0" collapsed="false">
      <c r="B27" s="50" t="n">
        <v>21</v>
      </c>
      <c r="C27" s="51" t="s">
        <v>45</v>
      </c>
      <c r="D27" s="52" t="s">
        <v>62</v>
      </c>
      <c r="E27" s="29"/>
      <c r="F27" s="13"/>
      <c r="G27" s="13"/>
      <c r="H27" s="13"/>
      <c r="I27" s="54"/>
      <c r="J27" s="55"/>
      <c r="K27" s="50"/>
      <c r="L27" s="56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50" t="n">
        <v>22</v>
      </c>
      <c r="C28" s="51" t="s">
        <v>45</v>
      </c>
      <c r="D28" s="52" t="s">
        <v>62</v>
      </c>
      <c r="E28" s="29"/>
      <c r="F28" s="13"/>
      <c r="G28" s="13"/>
      <c r="H28" s="13"/>
      <c r="I28" s="54"/>
      <c r="J28" s="55"/>
      <c r="K28" s="50"/>
      <c r="L28" s="56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50" t="n">
        <v>23</v>
      </c>
      <c r="C29" s="51" t="s">
        <v>45</v>
      </c>
      <c r="D29" s="52" t="s">
        <v>62</v>
      </c>
      <c r="E29" s="29"/>
      <c r="F29" s="13"/>
      <c r="G29" s="13"/>
      <c r="H29" s="13"/>
      <c r="I29" s="54"/>
      <c r="J29" s="55"/>
      <c r="K29" s="50"/>
      <c r="L29" s="56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50" t="n">
        <v>24</v>
      </c>
      <c r="C30" s="51" t="s">
        <v>45</v>
      </c>
      <c r="D30" s="52" t="s">
        <v>62</v>
      </c>
      <c r="E30" s="29"/>
      <c r="F30" s="13"/>
      <c r="G30" s="13"/>
      <c r="H30" s="13"/>
      <c r="I30" s="54"/>
      <c r="J30" s="55"/>
      <c r="K30" s="50"/>
      <c r="L30" s="56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13.25" hidden="false" customHeight="false" outlineLevel="0" collapsed="false">
      <c r="B31" s="50" t="n">
        <v>1</v>
      </c>
      <c r="C31" s="51" t="s">
        <v>86</v>
      </c>
      <c r="D31" s="52" t="s">
        <v>62</v>
      </c>
      <c r="E31" s="53"/>
      <c r="F31" s="13"/>
      <c r="G31" s="13"/>
      <c r="H31" s="13"/>
      <c r="I31" s="54"/>
      <c r="J31" s="55"/>
      <c r="K31" s="50"/>
      <c r="L31" s="56"/>
      <c r="M31" s="53"/>
      <c r="N31" s="57"/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13.25" hidden="false" customHeight="false" outlineLevel="0" collapsed="false">
      <c r="B32" s="50" t="n">
        <v>2</v>
      </c>
      <c r="C32" s="51" t="s">
        <v>86</v>
      </c>
      <c r="D32" s="52" t="s">
        <v>3</v>
      </c>
      <c r="E32" s="53"/>
      <c r="F32" s="13"/>
      <c r="G32" s="13"/>
      <c r="H32" s="13"/>
      <c r="I32" s="54"/>
      <c r="J32" s="55"/>
      <c r="K32" s="50"/>
      <c r="L32" s="56"/>
      <c r="M32" s="53"/>
      <c r="N32" s="57"/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13.25" hidden="false" customHeight="false" outlineLevel="0" collapsed="false">
      <c r="B33" s="50" t="n">
        <v>3</v>
      </c>
      <c r="C33" s="51" t="s">
        <v>86</v>
      </c>
      <c r="D33" s="52" t="s">
        <v>3</v>
      </c>
      <c r="E33" s="29"/>
      <c r="F33" s="13"/>
      <c r="G33" s="13"/>
      <c r="H33" s="13"/>
      <c r="I33" s="54"/>
      <c r="J33" s="55"/>
      <c r="K33" s="50"/>
      <c r="L33" s="56"/>
      <c r="M33" s="53"/>
      <c r="N33" s="57"/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13.25" hidden="false" customHeight="false" outlineLevel="0" collapsed="false">
      <c r="B34" s="50" t="n">
        <v>4</v>
      </c>
      <c r="C34" s="51" t="s">
        <v>86</v>
      </c>
      <c r="D34" s="52" t="s">
        <v>3</v>
      </c>
      <c r="E34" s="29"/>
      <c r="F34" s="13"/>
      <c r="G34" s="13"/>
      <c r="H34" s="13"/>
      <c r="I34" s="54"/>
      <c r="J34" s="55"/>
      <c r="K34" s="50"/>
      <c r="L34" s="56"/>
      <c r="M34" s="53"/>
      <c r="N34" s="57"/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13.25" hidden="false" customHeight="false" outlineLevel="0" collapsed="false">
      <c r="B35" s="50" t="n">
        <v>5</v>
      </c>
      <c r="C35" s="51" t="s">
        <v>86</v>
      </c>
      <c r="D35" s="52" t="s">
        <v>3</v>
      </c>
      <c r="E35" s="29"/>
      <c r="F35" s="13"/>
      <c r="G35" s="13"/>
      <c r="H35" s="13"/>
      <c r="I35" s="54"/>
      <c r="J35" s="55"/>
      <c r="K35" s="50"/>
      <c r="L35" s="56"/>
      <c r="M35" s="53"/>
      <c r="N35" s="57"/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13.25" hidden="false" customHeight="false" outlineLevel="0" collapsed="false">
      <c r="B36" s="50" t="n">
        <v>6</v>
      </c>
      <c r="C36" s="51" t="s">
        <v>86</v>
      </c>
      <c r="D36" s="52" t="s">
        <v>3</v>
      </c>
      <c r="E36" s="29"/>
      <c r="F36" s="13"/>
      <c r="G36" s="13"/>
      <c r="H36" s="13"/>
      <c r="I36" s="54"/>
      <c r="J36" s="55"/>
      <c r="K36" s="50"/>
      <c r="L36" s="56"/>
      <c r="M36" s="53"/>
      <c r="N36" s="57"/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13.25" hidden="false" customHeight="false" outlineLevel="0" collapsed="false">
      <c r="B37" s="50" t="n">
        <v>7</v>
      </c>
      <c r="C37" s="51" t="s">
        <v>86</v>
      </c>
      <c r="D37" s="52" t="s">
        <v>3</v>
      </c>
      <c r="E37" s="29"/>
      <c r="F37" s="13"/>
      <c r="G37" s="13"/>
      <c r="H37" s="13"/>
      <c r="I37" s="54"/>
      <c r="J37" s="55"/>
      <c r="K37" s="50"/>
      <c r="L37" s="56"/>
      <c r="M37" s="53"/>
      <c r="N37" s="57"/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13.25" hidden="false" customHeight="false" outlineLevel="0" collapsed="false">
      <c r="B38" s="50" t="n">
        <v>8</v>
      </c>
      <c r="C38" s="51" t="s">
        <v>86</v>
      </c>
      <c r="D38" s="52" t="s">
        <v>3</v>
      </c>
      <c r="F38" s="13"/>
      <c r="G38" s="13"/>
      <c r="H38" s="13"/>
      <c r="I38" s="54"/>
      <c r="J38" s="55"/>
      <c r="K38" s="50"/>
      <c r="L38" s="29"/>
      <c r="M38" s="53"/>
      <c r="N38" s="57"/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13.25" hidden="false" customHeight="false" outlineLevel="0" collapsed="false">
      <c r="B39" s="50" t="n">
        <v>9</v>
      </c>
      <c r="C39" s="51" t="s">
        <v>86</v>
      </c>
      <c r="D39" s="52" t="s">
        <v>3</v>
      </c>
      <c r="E39" s="29"/>
      <c r="F39" s="13"/>
      <c r="G39" s="13"/>
      <c r="H39" s="13"/>
      <c r="I39" s="54"/>
      <c r="J39" s="55"/>
      <c r="K39" s="50"/>
      <c r="L39" s="56"/>
      <c r="M39" s="53"/>
      <c r="N39" s="57"/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13.25" hidden="false" customHeight="false" outlineLevel="0" collapsed="false">
      <c r="B40" s="50" t="n">
        <v>10</v>
      </c>
      <c r="C40" s="51" t="s">
        <v>86</v>
      </c>
      <c r="D40" s="52" t="s">
        <v>3</v>
      </c>
      <c r="E40" s="29"/>
      <c r="F40" s="13"/>
      <c r="G40" s="13"/>
      <c r="H40" s="13"/>
      <c r="I40" s="54"/>
      <c r="J40" s="55"/>
      <c r="K40" s="50"/>
      <c r="L40" s="56"/>
      <c r="M40" s="53"/>
      <c r="N40" s="57"/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13.25" hidden="false" customHeight="false" outlineLevel="0" collapsed="false">
      <c r="B41" s="50" t="n">
        <v>11</v>
      </c>
      <c r="C41" s="51" t="s">
        <v>86</v>
      </c>
      <c r="D41" s="52" t="s">
        <v>3</v>
      </c>
      <c r="E41" s="29"/>
      <c r="F41" s="13"/>
      <c r="G41" s="13"/>
      <c r="H41" s="13"/>
      <c r="I41" s="54"/>
      <c r="J41" s="55"/>
      <c r="K41" s="50"/>
      <c r="L41" s="56"/>
      <c r="M41" s="53"/>
      <c r="N41" s="57"/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13.25" hidden="false" customHeight="false" outlineLevel="0" collapsed="false">
      <c r="B42" s="50" t="n">
        <v>12</v>
      </c>
      <c r="C42" s="51" t="s">
        <v>86</v>
      </c>
      <c r="D42" s="52" t="s">
        <v>3</v>
      </c>
      <c r="F42" s="13"/>
      <c r="G42" s="13"/>
      <c r="H42" s="13"/>
      <c r="I42" s="54"/>
      <c r="J42" s="55"/>
      <c r="K42" s="50"/>
      <c r="L42" s="29"/>
      <c r="M42" s="53"/>
      <c r="N42" s="57"/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13.25" hidden="false" customHeight="false" outlineLevel="0" collapsed="false">
      <c r="B43" s="50" t="n">
        <v>13</v>
      </c>
      <c r="C43" s="51" t="s">
        <v>86</v>
      </c>
      <c r="D43" s="52" t="s">
        <v>3</v>
      </c>
      <c r="E43" s="29"/>
      <c r="F43" s="13"/>
      <c r="G43" s="13"/>
      <c r="H43" s="13"/>
      <c r="I43" s="54"/>
      <c r="J43" s="55"/>
      <c r="K43" s="50"/>
      <c r="L43" s="56"/>
      <c r="M43" s="53"/>
      <c r="N43" s="57"/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13.25" hidden="false" customHeight="false" outlineLevel="0" collapsed="false">
      <c r="B44" s="50" t="n">
        <v>14</v>
      </c>
      <c r="C44" s="51" t="s">
        <v>86</v>
      </c>
      <c r="D44" s="52" t="s">
        <v>3</v>
      </c>
      <c r="E44" s="29"/>
      <c r="F44" s="13"/>
      <c r="G44" s="13"/>
      <c r="H44" s="13"/>
      <c r="I44" s="54"/>
      <c r="J44" s="55"/>
      <c r="K44" s="50"/>
      <c r="L44" s="56"/>
      <c r="M44" s="53"/>
      <c r="N44" s="57"/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13.25" hidden="false" customHeight="false" outlineLevel="0" collapsed="false">
      <c r="B45" s="50" t="n">
        <v>15</v>
      </c>
      <c r="C45" s="51" t="s">
        <v>86</v>
      </c>
      <c r="D45" s="52" t="s">
        <v>3</v>
      </c>
      <c r="E45" s="29"/>
      <c r="F45" s="13"/>
      <c r="G45" s="13"/>
      <c r="H45" s="13"/>
      <c r="I45" s="54"/>
      <c r="J45" s="55"/>
      <c r="K45" s="50"/>
      <c r="L45" s="56"/>
      <c r="M45" s="53"/>
      <c r="N45" s="57"/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50" t="n">
        <v>16</v>
      </c>
      <c r="C46" s="51" t="s">
        <v>86</v>
      </c>
      <c r="D46" s="52" t="s">
        <v>62</v>
      </c>
      <c r="E46" s="65"/>
      <c r="F46" s="66"/>
      <c r="G46" s="66"/>
      <c r="H46" s="66"/>
      <c r="I46" s="67"/>
      <c r="J46" s="68"/>
      <c r="K46" s="69"/>
      <c r="L46" s="70"/>
      <c r="M46" s="71"/>
      <c r="N46" s="72"/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13.25" hidden="false" customHeight="false" outlineLevel="0" collapsed="false">
      <c r="B47" s="50" t="n">
        <v>17</v>
      </c>
      <c r="C47" s="51" t="s">
        <v>86</v>
      </c>
      <c r="D47" s="52" t="s">
        <v>62</v>
      </c>
      <c r="E47" s="29"/>
      <c r="F47" s="13"/>
      <c r="G47" s="13"/>
      <c r="H47" s="13"/>
      <c r="I47" s="54"/>
      <c r="J47" s="55"/>
      <c r="K47" s="50"/>
      <c r="L47" s="56"/>
      <c r="M47" s="53"/>
      <c r="N47" s="57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13.25" hidden="false" customHeight="false" outlineLevel="0" collapsed="false">
      <c r="B48" s="50" t="n">
        <v>18</v>
      </c>
      <c r="C48" s="51" t="s">
        <v>86</v>
      </c>
      <c r="D48" s="52" t="s">
        <v>62</v>
      </c>
      <c r="E48" s="29"/>
      <c r="F48" s="13"/>
      <c r="G48" s="13"/>
      <c r="H48" s="13"/>
      <c r="I48" s="54"/>
      <c r="J48" s="55"/>
      <c r="K48" s="50"/>
      <c r="L48" s="56"/>
      <c r="M48" s="53"/>
      <c r="N48" s="57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13.25" hidden="false" customHeight="false" outlineLevel="0" collapsed="false">
      <c r="B49" s="50" t="n">
        <v>19</v>
      </c>
      <c r="C49" s="51" t="s">
        <v>86</v>
      </c>
      <c r="D49" s="52" t="s">
        <v>62</v>
      </c>
      <c r="E49" s="29"/>
      <c r="F49" s="13"/>
      <c r="G49" s="13"/>
      <c r="H49" s="13"/>
      <c r="I49" s="54"/>
      <c r="J49" s="55"/>
      <c r="K49" s="50"/>
      <c r="L49" s="56"/>
      <c r="M49" s="53"/>
      <c r="N49" s="57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50" t="n">
        <v>20</v>
      </c>
      <c r="C50" s="51" t="s">
        <v>86</v>
      </c>
      <c r="D50" s="52" t="s">
        <v>62</v>
      </c>
      <c r="E50" s="29"/>
      <c r="F50" s="13"/>
      <c r="G50" s="13"/>
      <c r="H50" s="13"/>
      <c r="I50" s="54"/>
      <c r="J50" s="55"/>
      <c r="K50" s="50"/>
      <c r="L50" s="56"/>
      <c r="M50" s="53"/>
      <c r="N50" s="57"/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13.25" hidden="false" customHeight="false" outlineLevel="0" collapsed="false">
      <c r="B51" s="50" t="n">
        <v>21</v>
      </c>
      <c r="C51" s="51" t="s">
        <v>86</v>
      </c>
      <c r="D51" s="52" t="s">
        <v>62</v>
      </c>
      <c r="E51" s="29"/>
      <c r="F51" s="13"/>
      <c r="G51" s="13"/>
      <c r="H51" s="13"/>
      <c r="I51" s="54"/>
      <c r="J51" s="55"/>
      <c r="K51" s="50"/>
      <c r="L51" s="56"/>
      <c r="M51" s="53"/>
      <c r="N51" s="57"/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13.25" hidden="false" customHeight="false" outlineLevel="0" collapsed="false">
      <c r="B52" s="50" t="n">
        <v>22</v>
      </c>
      <c r="C52" s="51" t="s">
        <v>86</v>
      </c>
      <c r="D52" s="52" t="s">
        <v>62</v>
      </c>
      <c r="E52" s="29"/>
      <c r="F52" s="13"/>
      <c r="G52" s="13"/>
      <c r="H52" s="13"/>
      <c r="I52" s="54"/>
      <c r="J52" s="55"/>
      <c r="K52" s="50"/>
      <c r="L52" s="56"/>
      <c r="M52" s="53"/>
      <c r="N52" s="57"/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13.25" hidden="false" customHeight="false" outlineLevel="0" collapsed="false">
      <c r="B53" s="50" t="n">
        <v>23</v>
      </c>
      <c r="C53" s="51" t="s">
        <v>86</v>
      </c>
      <c r="D53" s="52" t="s">
        <v>62</v>
      </c>
      <c r="E53" s="29"/>
      <c r="F53" s="13"/>
      <c r="G53" s="13"/>
      <c r="H53" s="13"/>
      <c r="I53" s="54"/>
      <c r="J53" s="55"/>
      <c r="K53" s="50"/>
      <c r="L53" s="56"/>
      <c r="M53" s="29"/>
      <c r="N53" s="57"/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13.25" hidden="false" customHeight="false" outlineLevel="0" collapsed="false">
      <c r="B54" s="50" t="n">
        <v>24</v>
      </c>
      <c r="C54" s="51" t="s">
        <v>86</v>
      </c>
      <c r="D54" s="52" t="s">
        <v>3</v>
      </c>
      <c r="E54" s="29"/>
      <c r="F54" s="13"/>
      <c r="G54" s="13"/>
      <c r="H54" s="13"/>
      <c r="I54" s="54"/>
      <c r="J54" s="55"/>
      <c r="K54" s="50"/>
      <c r="L54" s="56"/>
      <c r="M54" s="53"/>
      <c r="N54" s="57"/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10 I12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10 F12:F54" type="whole">
      <formula1>0</formula1>
      <formula2>1000</formula2>
    </dataValidation>
    <dataValidation allowBlank="true" operator="equal" showDropDown="false" showErrorMessage="true" showInputMessage="false" sqref="J7:J10 J12:J54" type="list">
      <formula1>"K,L3,L2,L1"</formula1>
      <formula2>0</formula2>
    </dataValidation>
    <dataValidation allowBlank="true" operator="equal" showDropDown="false" showErrorMessage="true" showInputMessage="false" sqref="K7:K10 K12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I6" activeCellId="1" sqref="N25 I6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305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3.25" hidden="false" customHeight="false" outlineLevel="0" collapsed="false">
      <c r="B7" s="69" t="n">
        <v>1</v>
      </c>
      <c r="C7" s="78" t="s">
        <v>45</v>
      </c>
      <c r="D7" s="79" t="s">
        <v>3</v>
      </c>
      <c r="E7" s="71"/>
      <c r="F7" s="66"/>
      <c r="G7" s="66"/>
      <c r="H7" s="66"/>
      <c r="I7" s="67"/>
      <c r="J7" s="68"/>
      <c r="K7" s="69"/>
      <c r="L7" s="70"/>
      <c r="M7" s="71"/>
      <c r="N7" s="72"/>
      <c r="O7" s="56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3.25" hidden="false" customHeight="false" outlineLevel="0" collapsed="false">
      <c r="B8" s="69" t="n">
        <v>2</v>
      </c>
      <c r="C8" s="78" t="s">
        <v>45</v>
      </c>
      <c r="D8" s="79" t="s">
        <v>3</v>
      </c>
      <c r="E8" s="71" t="s">
        <v>306</v>
      </c>
      <c r="F8" s="66"/>
      <c r="G8" s="66"/>
      <c r="H8" s="66"/>
      <c r="I8" s="67"/>
      <c r="J8" s="68"/>
      <c r="K8" s="69"/>
      <c r="L8" s="70" t="s">
        <v>307</v>
      </c>
      <c r="M8" s="71"/>
      <c r="N8" s="72"/>
      <c r="O8" s="56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3.25" hidden="false" customHeight="false" outlineLevel="0" collapsed="false">
      <c r="B9" s="69" t="n">
        <v>3</v>
      </c>
      <c r="C9" s="78" t="s">
        <v>45</v>
      </c>
      <c r="D9" s="79" t="s">
        <v>62</v>
      </c>
      <c r="E9" s="65" t="s">
        <v>308</v>
      </c>
      <c r="F9" s="66"/>
      <c r="G9" s="66"/>
      <c r="H9" s="66"/>
      <c r="I9" s="67"/>
      <c r="J9" s="68"/>
      <c r="K9" s="69"/>
      <c r="L9" s="70" t="s">
        <v>308</v>
      </c>
      <c r="M9" s="71"/>
      <c r="N9" s="72"/>
      <c r="O9" s="56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3.25" hidden="false" customHeight="false" outlineLevel="0" collapsed="false">
      <c r="B10" s="69" t="n">
        <v>4</v>
      </c>
      <c r="C10" s="78" t="s">
        <v>45</v>
      </c>
      <c r="D10" s="79" t="s">
        <v>3</v>
      </c>
      <c r="E10" s="65" t="s">
        <v>309</v>
      </c>
      <c r="F10" s="66"/>
      <c r="G10" s="66"/>
      <c r="H10" s="66"/>
      <c r="I10" s="67"/>
      <c r="J10" s="68"/>
      <c r="K10" s="69"/>
      <c r="L10" s="70" t="s">
        <v>309</v>
      </c>
      <c r="M10" s="71"/>
      <c r="N10" s="72"/>
      <c r="O10" s="56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3.25" hidden="false" customHeight="false" outlineLevel="0" collapsed="false">
      <c r="B11" s="69" t="n">
        <v>5</v>
      </c>
      <c r="C11" s="78" t="s">
        <v>45</v>
      </c>
      <c r="D11" s="79" t="s">
        <v>3</v>
      </c>
      <c r="E11" s="81" t="s">
        <v>310</v>
      </c>
      <c r="F11" s="81"/>
      <c r="G11" s="81"/>
      <c r="H11" s="81"/>
      <c r="I11" s="81"/>
      <c r="J11" s="81"/>
      <c r="K11" s="81"/>
      <c r="L11" s="81" t="s">
        <v>311</v>
      </c>
      <c r="M11" s="71"/>
      <c r="N11" s="81"/>
      <c r="O11" s="56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3.25" hidden="false" customHeight="false" outlineLevel="0" collapsed="false">
      <c r="B12" s="69" t="n">
        <v>6</v>
      </c>
      <c r="C12" s="78" t="s">
        <v>45</v>
      </c>
      <c r="D12" s="79" t="s">
        <v>3</v>
      </c>
      <c r="E12" s="65" t="s">
        <v>312</v>
      </c>
      <c r="F12" s="66"/>
      <c r="G12" s="66"/>
      <c r="H12" s="66"/>
      <c r="I12" s="67"/>
      <c r="J12" s="68"/>
      <c r="K12" s="69"/>
      <c r="L12" s="70" t="s">
        <v>312</v>
      </c>
      <c r="M12" s="71" t="s">
        <v>53</v>
      </c>
      <c r="N12" s="72" t="s">
        <v>160</v>
      </c>
      <c r="O12" s="56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3.25" hidden="false" customHeight="false" outlineLevel="0" collapsed="false">
      <c r="B13" s="50" t="n">
        <v>7</v>
      </c>
      <c r="C13" s="51" t="s">
        <v>45</v>
      </c>
      <c r="D13" s="52" t="s">
        <v>62</v>
      </c>
      <c r="E13" s="29"/>
      <c r="F13" s="13"/>
      <c r="G13" s="13"/>
      <c r="H13" s="13"/>
      <c r="I13" s="77"/>
      <c r="J13" s="55"/>
      <c r="K13" s="50"/>
      <c r="L13" s="56"/>
      <c r="M13" s="53"/>
      <c r="N13" s="57"/>
      <c r="O13" s="56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3.25" hidden="false" customHeight="false" outlineLevel="0" collapsed="false">
      <c r="B14" s="50" t="n">
        <v>8</v>
      </c>
      <c r="C14" s="51" t="s">
        <v>45</v>
      </c>
      <c r="D14" s="52" t="s">
        <v>62</v>
      </c>
      <c r="E14" s="29"/>
      <c r="F14" s="13"/>
      <c r="G14" s="13"/>
      <c r="H14" s="13"/>
      <c r="I14" s="77"/>
      <c r="J14" s="55"/>
      <c r="K14" s="50"/>
      <c r="L14" s="56"/>
      <c r="M14" s="53"/>
      <c r="N14" s="57"/>
      <c r="O14" s="56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3.25" hidden="false" customHeight="false" outlineLevel="0" collapsed="false">
      <c r="B15" s="50" t="n">
        <v>9</v>
      </c>
      <c r="C15" s="51" t="s">
        <v>45</v>
      </c>
      <c r="D15" s="52" t="s">
        <v>62</v>
      </c>
      <c r="E15" s="29"/>
      <c r="F15" s="13"/>
      <c r="G15" s="13"/>
      <c r="H15" s="13"/>
      <c r="I15" s="77"/>
      <c r="J15" s="55"/>
      <c r="K15" s="50"/>
      <c r="L15" s="56"/>
      <c r="M15" s="53"/>
      <c r="N15" s="57"/>
      <c r="O15" s="56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3.25" hidden="false" customHeight="false" outlineLevel="0" collapsed="false">
      <c r="B16" s="50" t="n">
        <v>10</v>
      </c>
      <c r="C16" s="51" t="s">
        <v>45</v>
      </c>
      <c r="D16" s="52" t="s">
        <v>62</v>
      </c>
      <c r="E16" s="29"/>
      <c r="F16" s="13"/>
      <c r="G16" s="13"/>
      <c r="H16" s="13"/>
      <c r="I16" s="77"/>
      <c r="J16" s="55"/>
      <c r="K16" s="50"/>
      <c r="L16" s="56"/>
      <c r="M16" s="53"/>
      <c r="N16" s="57"/>
      <c r="O16" s="56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50" t="n">
        <v>23</v>
      </c>
      <c r="C17" s="51" t="s">
        <v>45</v>
      </c>
      <c r="D17" s="52" t="s">
        <v>62</v>
      </c>
      <c r="E17" s="29"/>
      <c r="F17" s="13"/>
      <c r="G17" s="13"/>
      <c r="H17" s="13"/>
      <c r="I17" s="77"/>
      <c r="J17" s="55"/>
      <c r="K17" s="50"/>
      <c r="L17" s="56"/>
      <c r="M17" s="29"/>
      <c r="N17" s="57"/>
      <c r="O17" s="56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50" t="n">
        <v>24</v>
      </c>
      <c r="C18" s="51" t="s">
        <v>45</v>
      </c>
      <c r="D18" s="52" t="s">
        <v>62</v>
      </c>
      <c r="E18" s="29"/>
      <c r="F18" s="13"/>
      <c r="G18" s="13"/>
      <c r="H18" s="13"/>
      <c r="I18" s="77"/>
      <c r="J18" s="55"/>
      <c r="K18" s="50"/>
      <c r="L18" s="56"/>
      <c r="M18" s="29"/>
      <c r="N18" s="57"/>
      <c r="O18" s="56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2.8" hidden="false" customHeight="false" outlineLevel="0" collapsed="false">
      <c r="B19" s="50" t="n">
        <v>1</v>
      </c>
      <c r="C19" s="51" t="s">
        <v>86</v>
      </c>
      <c r="D19" s="52" t="s">
        <v>62</v>
      </c>
      <c r="E19" s="53"/>
      <c r="F19" s="13"/>
      <c r="G19" s="13"/>
      <c r="H19" s="13"/>
      <c r="I19" s="77"/>
      <c r="J19" s="55"/>
      <c r="K19" s="50"/>
      <c r="L19" s="53"/>
      <c r="M19" s="53"/>
      <c r="N19" s="73"/>
      <c r="O19" s="56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2.8" hidden="false" customHeight="false" outlineLevel="0" collapsed="false">
      <c r="B20" s="50" t="n">
        <v>2</v>
      </c>
      <c r="C20" s="51" t="s">
        <v>86</v>
      </c>
      <c r="D20" s="52" t="s">
        <v>62</v>
      </c>
      <c r="E20" s="53"/>
      <c r="F20" s="13"/>
      <c r="G20" s="13"/>
      <c r="H20" s="13"/>
      <c r="I20" s="77"/>
      <c r="J20" s="55"/>
      <c r="K20" s="50"/>
      <c r="L20" s="53"/>
      <c r="M20" s="53"/>
      <c r="N20" s="73"/>
      <c r="O20" s="56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2.8" hidden="false" customHeight="false" outlineLevel="0" collapsed="false">
      <c r="B21" s="50" t="n">
        <v>3</v>
      </c>
      <c r="C21" s="51" t="s">
        <v>86</v>
      </c>
      <c r="D21" s="52" t="s">
        <v>62</v>
      </c>
      <c r="E21" s="29"/>
      <c r="F21" s="13"/>
      <c r="G21" s="13"/>
      <c r="H21" s="13"/>
      <c r="I21" s="77"/>
      <c r="J21" s="55"/>
      <c r="K21" s="50"/>
      <c r="L21" s="29"/>
      <c r="M21" s="53"/>
      <c r="N21" s="73"/>
      <c r="O21" s="56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2.8" hidden="false" customHeight="false" outlineLevel="0" collapsed="false">
      <c r="B22" s="50" t="n">
        <v>4</v>
      </c>
      <c r="C22" s="51" t="s">
        <v>86</v>
      </c>
      <c r="D22" s="52" t="s">
        <v>62</v>
      </c>
      <c r="E22" s="29"/>
      <c r="F22" s="13"/>
      <c r="G22" s="13"/>
      <c r="H22" s="13"/>
      <c r="I22" s="77"/>
      <c r="J22" s="55"/>
      <c r="K22" s="50"/>
      <c r="L22" s="29"/>
      <c r="M22" s="53"/>
      <c r="N22" s="73"/>
      <c r="O22" s="56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3.25" hidden="false" customHeight="false" outlineLevel="0" collapsed="false">
      <c r="B23" s="50" t="n">
        <v>5</v>
      </c>
      <c r="C23" s="51" t="s">
        <v>86</v>
      </c>
      <c r="D23" s="52" t="s">
        <v>3</v>
      </c>
      <c r="E23" s="29"/>
      <c r="F23" s="13"/>
      <c r="G23" s="13"/>
      <c r="H23" s="13"/>
      <c r="I23" s="54"/>
      <c r="J23" s="55"/>
      <c r="K23" s="50"/>
      <c r="L23" s="64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3.25" hidden="false" customHeight="false" outlineLevel="0" collapsed="false">
      <c r="B24" s="50" t="n">
        <v>6</v>
      </c>
      <c r="C24" s="51" t="s">
        <v>86</v>
      </c>
      <c r="D24" s="52" t="s">
        <v>3</v>
      </c>
      <c r="E24" s="29"/>
      <c r="F24" s="13"/>
      <c r="G24" s="13"/>
      <c r="H24" s="13"/>
      <c r="I24" s="54"/>
      <c r="J24" s="55"/>
      <c r="K24" s="50"/>
      <c r="L24" s="64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3.25" hidden="false" customHeight="false" outlineLevel="0" collapsed="false">
      <c r="B25" s="50" t="n">
        <v>7</v>
      </c>
      <c r="C25" s="51" t="s">
        <v>86</v>
      </c>
      <c r="D25" s="52" t="s">
        <v>3</v>
      </c>
      <c r="E25" s="29"/>
      <c r="F25" s="13"/>
      <c r="G25" s="13"/>
      <c r="H25" s="13"/>
      <c r="I25" s="54"/>
      <c r="J25" s="55"/>
      <c r="K25" s="50"/>
      <c r="L25" s="64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3.25" hidden="false" customHeight="false" outlineLevel="0" collapsed="false">
      <c r="B26" s="50" t="n">
        <v>8</v>
      </c>
      <c r="C26" s="51" t="s">
        <v>86</v>
      </c>
      <c r="D26" s="52" t="s">
        <v>3</v>
      </c>
      <c r="E26" s="29"/>
      <c r="F26" s="13"/>
      <c r="G26" s="13"/>
      <c r="H26" s="13"/>
      <c r="I26" s="54"/>
      <c r="J26" s="55"/>
      <c r="K26" s="50"/>
      <c r="L26" s="64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3.25" hidden="false" customHeight="false" outlineLevel="0" collapsed="false">
      <c r="B27" s="50" t="n">
        <v>9</v>
      </c>
      <c r="C27" s="51" t="s">
        <v>86</v>
      </c>
      <c r="D27" s="52" t="s">
        <v>3</v>
      </c>
      <c r="E27" s="29"/>
      <c r="F27" s="13"/>
      <c r="G27" s="13"/>
      <c r="H27" s="13"/>
      <c r="I27" s="54"/>
      <c r="J27" s="55"/>
      <c r="K27" s="50"/>
      <c r="L27" s="64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3.25" hidden="false" customHeight="false" outlineLevel="0" collapsed="false">
      <c r="B28" s="50" t="n">
        <v>10</v>
      </c>
      <c r="C28" s="51" t="s">
        <v>86</v>
      </c>
      <c r="D28" s="52" t="s">
        <v>3</v>
      </c>
      <c r="E28" s="29"/>
      <c r="F28" s="13"/>
      <c r="G28" s="13"/>
      <c r="H28" s="13"/>
      <c r="I28" s="54"/>
      <c r="J28" s="55"/>
      <c r="K28" s="50"/>
      <c r="L28" s="64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3.25" hidden="false" customHeight="false" outlineLevel="0" collapsed="false">
      <c r="B29" s="50" t="n">
        <v>23</v>
      </c>
      <c r="C29" s="51" t="s">
        <v>86</v>
      </c>
      <c r="D29" s="52" t="s">
        <v>3</v>
      </c>
      <c r="E29" s="29"/>
      <c r="F29" s="13"/>
      <c r="G29" s="13"/>
      <c r="H29" s="13"/>
      <c r="I29" s="54"/>
      <c r="J29" s="55"/>
      <c r="K29" s="50"/>
      <c r="L29" s="64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3.25" hidden="false" customHeight="false" outlineLevel="0" collapsed="false">
      <c r="B30" s="50" t="n">
        <v>24</v>
      </c>
      <c r="C30" s="51" t="s">
        <v>86</v>
      </c>
      <c r="D30" s="52" t="s">
        <v>3</v>
      </c>
      <c r="E30" s="29"/>
      <c r="F30" s="13"/>
      <c r="G30" s="13"/>
      <c r="H30" s="13"/>
      <c r="I30" s="54"/>
      <c r="J30" s="55"/>
      <c r="K30" s="50"/>
      <c r="L30" s="64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9">
    <dataValidation allowBlank="true" operator="equal" showDropDown="false" showErrorMessage="true" showInputMessage="false" sqref="W6:AB30" type="list">
      <formula1>"True,False"</formula1>
      <formula2>0</formula2>
    </dataValidation>
    <dataValidation allowBlank="true" operator="equal" showDropDown="false" showErrorMessage="true" showInputMessage="false" sqref="J6 J23:J30" type="list">
      <formula1>"K,L3,L2,L1"</formula1>
      <formula2>0</formula2>
    </dataValidation>
    <dataValidation allowBlank="true" operator="equal" showDropDown="false" showErrorMessage="true" showInputMessage="false" sqref="K6 K23:K30" type="list">
      <formula1>"unfocused,focused"</formula1>
      <formula2>0</formula2>
    </dataValidation>
    <dataValidation allowBlank="true" operator="between" showDropDown="false" showErrorMessage="true" showInputMessage="false" sqref="F6 F23:F30" type="whole">
      <formula1>0</formula1>
      <formula2>1000</formula2>
    </dataValidation>
    <dataValidation allowBlank="true" operator="between" showDropDown="false" showErrorMessage="true" showInputMessage="false" sqref="B7:B22" type="whole">
      <formula1>1</formula1>
      <formula2>24</formula2>
    </dataValidation>
    <dataValidation allowBlank="true" operator="equal" showDropDown="false" showErrorMessage="true" showInputMessage="false" sqref="K2 D6 D23:D30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 C23:C30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R6:V6 S7:V30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22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10 I12:I22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12" type="list">
      <formula1>"Yes,No"</formula1>
      <formula2>0</formula2>
    </dataValidation>
    <dataValidation allowBlank="true" operator="between" showDropDown="false" showErrorMessage="true" showInputMessage="false" sqref="F7:F10 F12" type="whole">
      <formula1>0</formula1>
      <formula2>1000</formula2>
    </dataValidation>
    <dataValidation allowBlank="true" operator="equal" showDropDown="false" showErrorMessage="true" showInputMessage="false" sqref="J7:J10 J12" type="list">
      <formula1>"K,L3,L2,L1"</formula1>
      <formula2>0</formula2>
    </dataValidation>
    <dataValidation allowBlank="true" operator="equal" showDropDown="false" showErrorMessage="true" showInputMessage="false" sqref="K7:K10 K12" type="list">
      <formula1>"unfocused,focused"</formula1>
      <formula2>0</formula2>
    </dataValidation>
    <dataValidation allowBlank="true" operator="equal" showDropDown="false" showErrorMessage="true" showInputMessage="false" sqref="C7:C12" type="list">
      <formula1>"Outer,Inner,"</formula1>
      <formula2>0</formula2>
    </dataValidation>
    <dataValidation allowBlank="true" operator="between" showDropDown="false" showErrorMessage="true" showInputMessage="false" sqref="S31:V48" type="none">
      <formula1>-150</formula1>
      <formula2>150</formula2>
    </dataValidation>
    <dataValidation allowBlank="true" operator="between" showDropDown="false" showErrorMessage="true" showInputMessage="false" sqref="B23:B30" type="whole">
      <formula1>1</formula1>
      <formula2>24</formula2>
    </dataValidation>
    <dataValidation allowBlank="true" operator="equal" showDropDown="false" showErrorMessage="true" showInputMessage="false" sqref="H23:H3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23:I3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13:C22" type="list">
      <formula1>"Outer,Inner,"</formula1>
      <formula2>0</formula2>
    </dataValidation>
    <dataValidation allowBlank="true" operator="equal" showDropDown="false" showErrorMessage="true" showInputMessage="false" sqref="D13:D22" type="list">
      <formula1>"Yes,No"</formula1>
      <formula2>0</formula2>
    </dataValidation>
    <dataValidation allowBlank="true" operator="between" showDropDown="false" showErrorMessage="true" showInputMessage="false" sqref="F13:F22" type="whole">
      <formula1>0</formula1>
      <formula2>1000</formula2>
    </dataValidation>
    <dataValidation allowBlank="true" operator="equal" showDropDown="false" showErrorMessage="true" showInputMessage="false" sqref="J13:J22" type="list">
      <formula1>"K,L3,L2,L1"</formula1>
      <formula2>0</formula2>
    </dataValidation>
    <dataValidation allowBlank="true" operator="equal" showDropDown="false" showErrorMessage="true" showInputMessage="false" sqref="K13:K22" type="list">
      <formula1>"unfocused,focused"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I6" activeCellId="1" sqref="N25 I6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313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6.4" hidden="false" customHeight="true" outlineLevel="0" collapsed="false">
      <c r="B7" s="69" t="n">
        <v>11</v>
      </c>
      <c r="C7" s="78" t="s">
        <v>45</v>
      </c>
      <c r="D7" s="79" t="s">
        <v>3</v>
      </c>
      <c r="E7" s="65" t="s">
        <v>314</v>
      </c>
      <c r="F7" s="66"/>
      <c r="G7" s="66"/>
      <c r="H7" s="66"/>
      <c r="I7" s="67"/>
      <c r="J7" s="68"/>
      <c r="K7" s="69"/>
      <c r="L7" s="65" t="s">
        <v>315</v>
      </c>
      <c r="M7" s="53"/>
      <c r="N7" s="57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6.4" hidden="false" customHeight="true" outlineLevel="0" collapsed="false">
      <c r="B8" s="69" t="n">
        <v>12</v>
      </c>
      <c r="C8" s="78" t="s">
        <v>45</v>
      </c>
      <c r="D8" s="79" t="s">
        <v>3</v>
      </c>
      <c r="E8" s="65" t="s">
        <v>316</v>
      </c>
      <c r="F8" s="66"/>
      <c r="G8" s="66"/>
      <c r="H8" s="66"/>
      <c r="I8" s="67"/>
      <c r="J8" s="68"/>
      <c r="K8" s="69"/>
      <c r="L8" s="65" t="s">
        <v>317</v>
      </c>
      <c r="M8" s="53"/>
      <c r="N8" s="57"/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6.4" hidden="false" customHeight="true" outlineLevel="0" collapsed="false">
      <c r="B9" s="69" t="n">
        <v>13</v>
      </c>
      <c r="C9" s="78" t="s">
        <v>45</v>
      </c>
      <c r="D9" s="79" t="s">
        <v>3</v>
      </c>
      <c r="E9" s="65" t="s">
        <v>318</v>
      </c>
      <c r="F9" s="66"/>
      <c r="G9" s="66"/>
      <c r="H9" s="66"/>
      <c r="I9" s="67"/>
      <c r="J9" s="68"/>
      <c r="K9" s="69"/>
      <c r="L9" s="65" t="s">
        <v>319</v>
      </c>
      <c r="M9" s="53"/>
      <c r="N9" s="57"/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6.4" hidden="false" customHeight="true" outlineLevel="0" collapsed="false">
      <c r="B10" s="69" t="n">
        <v>14</v>
      </c>
      <c r="C10" s="78" t="s">
        <v>45</v>
      </c>
      <c r="D10" s="79" t="s">
        <v>3</v>
      </c>
      <c r="E10" s="65" t="s">
        <v>320</v>
      </c>
      <c r="F10" s="66"/>
      <c r="G10" s="66"/>
      <c r="H10" s="66"/>
      <c r="I10" s="67"/>
      <c r="J10" s="68"/>
      <c r="K10" s="69"/>
      <c r="L10" s="65" t="s">
        <v>321</v>
      </c>
      <c r="M10" s="53"/>
      <c r="N10" s="57"/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6.4" hidden="false" customHeight="true" outlineLevel="0" collapsed="false">
      <c r="B11" s="69" t="n">
        <v>15</v>
      </c>
      <c r="C11" s="78" t="s">
        <v>45</v>
      </c>
      <c r="D11" s="79" t="s">
        <v>3</v>
      </c>
      <c r="E11" s="65" t="s">
        <v>322</v>
      </c>
      <c r="F11" s="66"/>
      <c r="G11" s="66"/>
      <c r="H11" s="66"/>
      <c r="I11" s="67"/>
      <c r="J11" s="68"/>
      <c r="K11" s="69"/>
      <c r="L11" s="65" t="s">
        <v>323</v>
      </c>
      <c r="M11" s="53"/>
      <c r="N11" s="57"/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6.4" hidden="false" customHeight="true" outlineLevel="0" collapsed="false">
      <c r="B12" s="69" t="n">
        <v>16</v>
      </c>
      <c r="C12" s="78" t="s">
        <v>45</v>
      </c>
      <c r="D12" s="79" t="s">
        <v>3</v>
      </c>
      <c r="E12" s="29"/>
      <c r="F12" s="13"/>
      <c r="G12" s="13"/>
      <c r="H12" s="13"/>
      <c r="I12" s="54"/>
      <c r="J12" s="55"/>
      <c r="K12" s="50"/>
      <c r="L12" s="56"/>
      <c r="M12" s="53"/>
      <c r="N12" s="57"/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6.4" hidden="false" customHeight="true" outlineLevel="0" collapsed="false">
      <c r="B13" s="69" t="n">
        <v>17</v>
      </c>
      <c r="C13" s="78" t="s">
        <v>45</v>
      </c>
      <c r="D13" s="79" t="s">
        <v>3</v>
      </c>
      <c r="E13" s="29"/>
      <c r="F13" s="13"/>
      <c r="G13" s="13"/>
      <c r="H13" s="13"/>
      <c r="I13" s="54"/>
      <c r="J13" s="55"/>
      <c r="K13" s="50"/>
      <c r="L13" s="56"/>
      <c r="M13" s="53"/>
      <c r="N13" s="57"/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6.4" hidden="false" customHeight="true" outlineLevel="0" collapsed="false">
      <c r="B14" s="69" t="n">
        <v>18</v>
      </c>
      <c r="C14" s="78" t="s">
        <v>45</v>
      </c>
      <c r="D14" s="79" t="s">
        <v>3</v>
      </c>
      <c r="E14" s="29"/>
      <c r="F14" s="13"/>
      <c r="G14" s="13"/>
      <c r="H14" s="13"/>
      <c r="I14" s="54"/>
      <c r="J14" s="55"/>
      <c r="K14" s="50"/>
      <c r="L14" s="56"/>
      <c r="M14" s="53"/>
      <c r="N14" s="57"/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6.4" hidden="false" customHeight="true" outlineLevel="0" collapsed="false">
      <c r="B15" s="69" t="n">
        <v>19</v>
      </c>
      <c r="C15" s="78" t="s">
        <v>45</v>
      </c>
      <c r="D15" s="79" t="s">
        <v>3</v>
      </c>
      <c r="E15" s="29"/>
      <c r="F15" s="13"/>
      <c r="G15" s="13"/>
      <c r="H15" s="13"/>
      <c r="I15" s="54"/>
      <c r="J15" s="55"/>
      <c r="K15" s="50"/>
      <c r="L15" s="56"/>
      <c r="M15" s="53"/>
      <c r="N15" s="57"/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6.4" hidden="false" customHeight="true" outlineLevel="0" collapsed="false">
      <c r="B16" s="69" t="n">
        <v>20</v>
      </c>
      <c r="C16" s="78" t="s">
        <v>45</v>
      </c>
      <c r="D16" s="79" t="s">
        <v>3</v>
      </c>
      <c r="E16" s="29"/>
      <c r="F16" s="13"/>
      <c r="G16" s="13"/>
      <c r="H16" s="13"/>
      <c r="I16" s="54"/>
      <c r="J16" s="55"/>
      <c r="K16" s="50"/>
      <c r="L16" s="56"/>
      <c r="M16" s="53"/>
      <c r="N16" s="57"/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6.4" hidden="false" customHeight="true" outlineLevel="0" collapsed="false">
      <c r="B17" s="69" t="n">
        <v>21</v>
      </c>
      <c r="C17" s="78" t="s">
        <v>45</v>
      </c>
      <c r="D17" s="79" t="s">
        <v>3</v>
      </c>
      <c r="E17" s="29"/>
      <c r="F17" s="13"/>
      <c r="G17" s="13"/>
      <c r="H17" s="13"/>
      <c r="I17" s="54"/>
      <c r="J17" s="55"/>
      <c r="K17" s="50"/>
      <c r="L17" s="56"/>
      <c r="M17" s="53"/>
      <c r="N17" s="57"/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6.4" hidden="false" customHeight="true" outlineLevel="0" collapsed="false">
      <c r="B18" s="69" t="n">
        <v>22</v>
      </c>
      <c r="C18" s="78" t="s">
        <v>45</v>
      </c>
      <c r="D18" s="79" t="s">
        <v>3</v>
      </c>
      <c r="E18" s="29"/>
      <c r="F18" s="13"/>
      <c r="G18" s="13"/>
      <c r="H18" s="13"/>
      <c r="I18" s="54"/>
      <c r="J18" s="55"/>
      <c r="K18" s="50"/>
      <c r="L18" s="56"/>
      <c r="M18" s="53"/>
      <c r="N18" s="57"/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6.4" hidden="false" customHeight="true" outlineLevel="0" collapsed="false">
      <c r="B19" s="69" t="n">
        <v>11</v>
      </c>
      <c r="C19" s="78" t="s">
        <v>86</v>
      </c>
      <c r="D19" s="79" t="s">
        <v>3</v>
      </c>
      <c r="E19" s="29"/>
      <c r="F19" s="13"/>
      <c r="G19" s="13"/>
      <c r="H19" s="13"/>
      <c r="I19" s="54"/>
      <c r="J19" s="55"/>
      <c r="K19" s="50"/>
      <c r="L19" s="56"/>
      <c r="M19" s="53"/>
      <c r="N19" s="57"/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6.4" hidden="false" customHeight="true" outlineLevel="0" collapsed="false">
      <c r="B20" s="69" t="n">
        <v>12</v>
      </c>
      <c r="C20" s="78" t="s">
        <v>86</v>
      </c>
      <c r="D20" s="79" t="s">
        <v>3</v>
      </c>
      <c r="E20" s="29"/>
      <c r="F20" s="13"/>
      <c r="G20" s="13"/>
      <c r="H20" s="13"/>
      <c r="I20" s="54"/>
      <c r="J20" s="55"/>
      <c r="K20" s="50"/>
      <c r="L20" s="56"/>
      <c r="M20" s="53"/>
      <c r="N20" s="57"/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6.4" hidden="false" customHeight="true" outlineLevel="0" collapsed="false">
      <c r="B21" s="69" t="n">
        <v>13</v>
      </c>
      <c r="C21" s="78" t="s">
        <v>86</v>
      </c>
      <c r="D21" s="79" t="s">
        <v>3</v>
      </c>
      <c r="E21" s="29"/>
      <c r="F21" s="13"/>
      <c r="G21" s="13"/>
      <c r="H21" s="13"/>
      <c r="I21" s="54"/>
      <c r="J21" s="55"/>
      <c r="K21" s="50"/>
      <c r="L21" s="56"/>
      <c r="M21" s="53"/>
      <c r="N21" s="57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6.4" hidden="false" customHeight="true" outlineLevel="0" collapsed="false">
      <c r="B22" s="69" t="n">
        <v>14</v>
      </c>
      <c r="C22" s="78" t="s">
        <v>86</v>
      </c>
      <c r="D22" s="79" t="s">
        <v>3</v>
      </c>
      <c r="E22" s="29"/>
      <c r="F22" s="13"/>
      <c r="G22" s="13"/>
      <c r="H22" s="13"/>
      <c r="I22" s="54"/>
      <c r="J22" s="55"/>
      <c r="K22" s="50"/>
      <c r="M22" s="53"/>
      <c r="N22" s="57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6.4" hidden="false" customHeight="true" outlineLevel="0" collapsed="false">
      <c r="B23" s="69" t="n">
        <v>15</v>
      </c>
      <c r="C23" s="78" t="s">
        <v>86</v>
      </c>
      <c r="D23" s="79" t="s">
        <v>3</v>
      </c>
      <c r="E23" s="29"/>
      <c r="F23" s="13"/>
      <c r="G23" s="13"/>
      <c r="H23" s="13"/>
      <c r="I23" s="54"/>
      <c r="J23" s="55"/>
      <c r="K23" s="50"/>
      <c r="L23" s="56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6.4" hidden="false" customHeight="true" outlineLevel="0" collapsed="false">
      <c r="B24" s="69" t="n">
        <v>16</v>
      </c>
      <c r="C24" s="78" t="s">
        <v>86</v>
      </c>
      <c r="D24" s="79" t="s">
        <v>3</v>
      </c>
      <c r="E24" s="29"/>
      <c r="F24" s="13"/>
      <c r="G24" s="13"/>
      <c r="H24" s="13"/>
      <c r="I24" s="54"/>
      <c r="J24" s="55"/>
      <c r="K24" s="50"/>
      <c r="L24" s="56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6.4" hidden="false" customHeight="true" outlineLevel="0" collapsed="false">
      <c r="B25" s="69" t="n">
        <v>17</v>
      </c>
      <c r="C25" s="78" t="s">
        <v>86</v>
      </c>
      <c r="D25" s="79" t="s">
        <v>3</v>
      </c>
      <c r="E25" s="29"/>
      <c r="F25" s="13"/>
      <c r="G25" s="13"/>
      <c r="H25" s="13"/>
      <c r="I25" s="54"/>
      <c r="J25" s="55"/>
      <c r="K25" s="50"/>
      <c r="L25" s="56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6.4" hidden="false" customHeight="true" outlineLevel="0" collapsed="false">
      <c r="B26" s="69" t="n">
        <v>18</v>
      </c>
      <c r="C26" s="78" t="s">
        <v>86</v>
      </c>
      <c r="D26" s="79" t="s">
        <v>3</v>
      </c>
      <c r="E26" s="29"/>
      <c r="F26" s="13"/>
      <c r="G26" s="13"/>
      <c r="H26" s="13"/>
      <c r="I26" s="54"/>
      <c r="J26" s="55"/>
      <c r="K26" s="50"/>
      <c r="L26" s="29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6.4" hidden="false" customHeight="true" outlineLevel="0" collapsed="false">
      <c r="B27" s="69" t="n">
        <v>19</v>
      </c>
      <c r="C27" s="78" t="s">
        <v>86</v>
      </c>
      <c r="D27" s="79" t="s">
        <v>3</v>
      </c>
      <c r="E27" s="29"/>
      <c r="F27" s="13"/>
      <c r="G27" s="13"/>
      <c r="H27" s="13"/>
      <c r="I27" s="54"/>
      <c r="J27" s="55"/>
      <c r="K27" s="50"/>
      <c r="L27" s="56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6.4" hidden="false" customHeight="true" outlineLevel="0" collapsed="false">
      <c r="B28" s="69" t="n">
        <v>20</v>
      </c>
      <c r="C28" s="78" t="s">
        <v>86</v>
      </c>
      <c r="D28" s="79" t="s">
        <v>3</v>
      </c>
      <c r="E28" s="29"/>
      <c r="F28" s="13"/>
      <c r="G28" s="13"/>
      <c r="H28" s="13"/>
      <c r="I28" s="54"/>
      <c r="J28" s="55"/>
      <c r="K28" s="50"/>
      <c r="L28" s="56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6.4" hidden="false" customHeight="true" outlineLevel="0" collapsed="false">
      <c r="B29" s="69" t="n">
        <v>21</v>
      </c>
      <c r="C29" s="78" t="s">
        <v>86</v>
      </c>
      <c r="D29" s="79" t="s">
        <v>3</v>
      </c>
      <c r="E29" s="29"/>
      <c r="F29" s="13"/>
      <c r="G29" s="13"/>
      <c r="H29" s="13"/>
      <c r="I29" s="54"/>
      <c r="J29" s="55"/>
      <c r="K29" s="50"/>
      <c r="L29" s="56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6.4" hidden="false" customHeight="true" outlineLevel="0" collapsed="false">
      <c r="B30" s="69" t="n">
        <v>22</v>
      </c>
      <c r="C30" s="78" t="s">
        <v>86</v>
      </c>
      <c r="D30" s="79" t="s">
        <v>3</v>
      </c>
      <c r="E30" s="29"/>
      <c r="F30" s="13"/>
      <c r="G30" s="13"/>
      <c r="H30" s="13"/>
      <c r="I30" s="54"/>
      <c r="J30" s="55"/>
      <c r="K30" s="50"/>
      <c r="L30" s="56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30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30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R6:V6 S7:V30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3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3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30" type="list">
      <formula1>"Yes,No"</formula1>
      <formula2>0</formula2>
    </dataValidation>
    <dataValidation allowBlank="true" operator="between" showDropDown="false" showErrorMessage="true" showInputMessage="false" sqref="F7:F30" type="whole">
      <formula1>0</formula1>
      <formula2>1000</formula2>
    </dataValidation>
    <dataValidation allowBlank="true" operator="equal" showDropDown="false" showErrorMessage="true" showInputMessage="false" sqref="J7:J30" type="list">
      <formula1>"K,L3,L2,L1"</formula1>
      <formula2>0</formula2>
    </dataValidation>
    <dataValidation allowBlank="true" operator="equal" showDropDown="false" showErrorMessage="true" showInputMessage="false" sqref="K7:K30" type="list">
      <formula1>"unfocused,focused"</formula1>
      <formula2>0</formula2>
    </dataValidation>
    <dataValidation allowBlank="true" operator="equal" showDropDown="false" showErrorMessage="true" showInputMessage="false" sqref="C7:C30" type="list">
      <formula1>"Outer,Inner,"</formula1>
      <formula2>0</formula2>
    </dataValidation>
    <dataValidation allowBlank="true" operator="between" showDropDown="false" showErrorMessage="true" showInputMessage="false" sqref="S31:V48" type="none">
      <formula1>-150</formula1>
      <formula2>150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E25" activeCellId="1" sqref="N25 E25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324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3.25" hidden="false" customHeight="false" outlineLevel="0" collapsed="false">
      <c r="B7" s="69" t="n">
        <v>1</v>
      </c>
      <c r="C7" s="78" t="s">
        <v>45</v>
      </c>
      <c r="D7" s="79" t="s">
        <v>3</v>
      </c>
      <c r="E7" s="71" t="s">
        <v>325</v>
      </c>
      <c r="F7" s="66"/>
      <c r="G7" s="66"/>
      <c r="H7" s="66" t="s">
        <v>255</v>
      </c>
      <c r="I7" s="67" t="s">
        <v>326</v>
      </c>
      <c r="J7" s="68"/>
      <c r="K7" s="69"/>
      <c r="L7" s="70" t="s">
        <v>327</v>
      </c>
      <c r="M7" s="71" t="s">
        <v>328</v>
      </c>
      <c r="N7" s="72" t="s">
        <v>329</v>
      </c>
      <c r="O7" s="70"/>
      <c r="P7" s="65"/>
      <c r="Q7" s="80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24.85" hidden="false" customHeight="false" outlineLevel="0" collapsed="false">
      <c r="B8" s="69" t="n">
        <v>2</v>
      </c>
      <c r="C8" s="78" t="s">
        <v>45</v>
      </c>
      <c r="D8" s="79" t="s">
        <v>3</v>
      </c>
      <c r="E8" s="71" t="s">
        <v>330</v>
      </c>
      <c r="F8" s="66"/>
      <c r="G8" s="66"/>
      <c r="H8" s="66"/>
      <c r="I8" s="67" t="s">
        <v>326</v>
      </c>
      <c r="J8" s="68"/>
      <c r="K8" s="69"/>
      <c r="L8" s="71" t="s">
        <v>330</v>
      </c>
      <c r="M8" s="71"/>
      <c r="N8" s="73" t="s">
        <v>167</v>
      </c>
      <c r="O8" s="70"/>
      <c r="P8" s="65"/>
      <c r="Q8" s="80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24.85" hidden="false" customHeight="false" outlineLevel="0" collapsed="false">
      <c r="B9" s="69" t="n">
        <v>3</v>
      </c>
      <c r="C9" s="78" t="s">
        <v>45</v>
      </c>
      <c r="D9" s="79" t="s">
        <v>3</v>
      </c>
      <c r="E9" s="65" t="s">
        <v>331</v>
      </c>
      <c r="F9" s="66"/>
      <c r="G9" s="66"/>
      <c r="H9" s="66"/>
      <c r="I9" s="67" t="s">
        <v>326</v>
      </c>
      <c r="J9" s="68"/>
      <c r="K9" s="69"/>
      <c r="L9" s="65" t="s">
        <v>331</v>
      </c>
      <c r="M9" s="71"/>
      <c r="N9" s="73" t="s">
        <v>167</v>
      </c>
      <c r="O9" s="70"/>
      <c r="P9" s="65"/>
      <c r="Q9" s="80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24.85" hidden="false" customHeight="false" outlineLevel="0" collapsed="false">
      <c r="B10" s="69" t="n">
        <v>4</v>
      </c>
      <c r="C10" s="78" t="s">
        <v>45</v>
      </c>
      <c r="D10" s="79" t="s">
        <v>3</v>
      </c>
      <c r="E10" s="65" t="s">
        <v>332</v>
      </c>
      <c r="F10" s="66"/>
      <c r="G10" s="66"/>
      <c r="H10" s="66"/>
      <c r="I10" s="67" t="s">
        <v>326</v>
      </c>
      <c r="J10" s="68"/>
      <c r="K10" s="69"/>
      <c r="L10" s="65" t="s">
        <v>333</v>
      </c>
      <c r="M10" s="71"/>
      <c r="N10" s="73" t="s">
        <v>167</v>
      </c>
      <c r="O10" s="70"/>
      <c r="P10" s="65"/>
      <c r="Q10" s="80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3.25" hidden="false" customHeight="false" outlineLevel="0" collapsed="false">
      <c r="B11" s="69" t="n">
        <v>5</v>
      </c>
      <c r="C11" s="78" t="s">
        <v>45</v>
      </c>
      <c r="D11" s="79" t="s">
        <v>3</v>
      </c>
      <c r="E11" s="0" t="s">
        <v>334</v>
      </c>
      <c r="I11" s="67" t="s">
        <v>326</v>
      </c>
      <c r="L11" s="0" t="s">
        <v>335</v>
      </c>
      <c r="M11" s="71" t="s">
        <v>53</v>
      </c>
      <c r="O11" s="70"/>
      <c r="P11" s="65"/>
      <c r="Q11" s="80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24.85" hidden="false" customHeight="false" outlineLevel="0" collapsed="false">
      <c r="B12" s="69" t="n">
        <v>6</v>
      </c>
      <c r="C12" s="78" t="s">
        <v>45</v>
      </c>
      <c r="D12" s="79" t="s">
        <v>3</v>
      </c>
      <c r="E12" s="65" t="s">
        <v>336</v>
      </c>
      <c r="F12" s="66"/>
      <c r="G12" s="66"/>
      <c r="H12" s="66"/>
      <c r="I12" s="67" t="s">
        <v>326</v>
      </c>
      <c r="J12" s="68"/>
      <c r="K12" s="69"/>
      <c r="L12" s="70" t="s">
        <v>337</v>
      </c>
      <c r="M12" s="71" t="s">
        <v>53</v>
      </c>
      <c r="N12" s="72" t="s">
        <v>338</v>
      </c>
      <c r="O12" s="70"/>
      <c r="P12" s="65"/>
      <c r="Q12" s="80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3.25" hidden="false" customHeight="false" outlineLevel="0" collapsed="false">
      <c r="B13" s="69" t="n">
        <v>7</v>
      </c>
      <c r="C13" s="78" t="s">
        <v>45</v>
      </c>
      <c r="D13" s="79" t="s">
        <v>62</v>
      </c>
      <c r="E13" s="65"/>
      <c r="F13" s="66"/>
      <c r="G13" s="66"/>
      <c r="H13" s="66"/>
      <c r="I13" s="67"/>
      <c r="J13" s="68"/>
      <c r="K13" s="69"/>
      <c r="L13" s="70"/>
      <c r="M13" s="71"/>
      <c r="N13" s="72"/>
      <c r="O13" s="70"/>
      <c r="P13" s="65"/>
      <c r="Q13" s="80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3.25" hidden="false" customHeight="false" outlineLevel="0" collapsed="false">
      <c r="B14" s="69" t="n">
        <v>8</v>
      </c>
      <c r="C14" s="78" t="s">
        <v>45</v>
      </c>
      <c r="D14" s="79" t="s">
        <v>62</v>
      </c>
      <c r="E14" s="65"/>
      <c r="F14" s="66"/>
      <c r="G14" s="66"/>
      <c r="H14" s="66"/>
      <c r="I14" s="67"/>
      <c r="J14" s="68"/>
      <c r="K14" s="69"/>
      <c r="L14" s="70"/>
      <c r="M14" s="71"/>
      <c r="N14" s="72"/>
      <c r="O14" s="70"/>
      <c r="P14" s="65"/>
      <c r="Q14" s="80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3.25" hidden="false" customHeight="false" outlineLevel="0" collapsed="false">
      <c r="B15" s="69" t="n">
        <v>9</v>
      </c>
      <c r="C15" s="78" t="s">
        <v>45</v>
      </c>
      <c r="D15" s="79" t="s">
        <v>62</v>
      </c>
      <c r="E15" s="84"/>
      <c r="F15" s="66"/>
      <c r="G15" s="66"/>
      <c r="H15" s="66"/>
      <c r="I15" s="67"/>
      <c r="J15" s="68"/>
      <c r="K15" s="69"/>
      <c r="L15" s="70"/>
      <c r="M15" s="71"/>
      <c r="N15" s="72"/>
      <c r="O15" s="70"/>
      <c r="P15" s="65"/>
      <c r="Q15" s="80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3.25" hidden="false" customHeight="false" outlineLevel="0" collapsed="false">
      <c r="B16" s="69" t="n">
        <v>10</v>
      </c>
      <c r="C16" s="78" t="s">
        <v>45</v>
      </c>
      <c r="D16" s="79" t="s">
        <v>62</v>
      </c>
      <c r="E16" s="65"/>
      <c r="F16" s="66"/>
      <c r="G16" s="66"/>
      <c r="H16" s="66"/>
      <c r="I16" s="67"/>
      <c r="J16" s="68"/>
      <c r="K16" s="69"/>
      <c r="L16" s="70"/>
      <c r="M16" s="71"/>
      <c r="N16" s="85"/>
      <c r="O16" s="70"/>
      <c r="P16" s="65"/>
      <c r="Q16" s="80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69" t="n">
        <v>11</v>
      </c>
      <c r="C17" s="78" t="s">
        <v>45</v>
      </c>
      <c r="D17" s="79" t="s">
        <v>62</v>
      </c>
      <c r="E17" s="65"/>
      <c r="F17" s="66"/>
      <c r="G17" s="66"/>
      <c r="H17" s="66"/>
      <c r="I17" s="67"/>
      <c r="J17" s="68"/>
      <c r="K17" s="69"/>
      <c r="L17" s="70"/>
      <c r="M17" s="71"/>
      <c r="N17" s="72"/>
      <c r="O17" s="70"/>
      <c r="P17" s="65"/>
      <c r="Q17" s="80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69" t="n">
        <v>12</v>
      </c>
      <c r="C18" s="78" t="s">
        <v>45</v>
      </c>
      <c r="D18" s="79" t="s">
        <v>62</v>
      </c>
      <c r="E18" s="65"/>
      <c r="F18" s="66"/>
      <c r="G18" s="66"/>
      <c r="H18" s="66"/>
      <c r="I18" s="67"/>
      <c r="J18" s="68"/>
      <c r="K18" s="69"/>
      <c r="L18" s="70"/>
      <c r="M18" s="71"/>
      <c r="N18" s="72"/>
      <c r="O18" s="70"/>
      <c r="P18" s="65"/>
      <c r="Q18" s="80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3.25" hidden="false" customHeight="false" outlineLevel="0" collapsed="false">
      <c r="B19" s="69" t="n">
        <v>13</v>
      </c>
      <c r="C19" s="78" t="s">
        <v>45</v>
      </c>
      <c r="D19" s="79" t="s">
        <v>3</v>
      </c>
      <c r="E19" s="65" t="s">
        <v>339</v>
      </c>
      <c r="F19" s="66"/>
      <c r="G19" s="66"/>
      <c r="H19" s="66" t="s">
        <v>255</v>
      </c>
      <c r="I19" s="67" t="s">
        <v>324</v>
      </c>
      <c r="J19" s="68"/>
      <c r="K19" s="69"/>
      <c r="L19" s="70" t="s">
        <v>340</v>
      </c>
      <c r="M19" s="71" t="s">
        <v>328</v>
      </c>
      <c r="N19" s="72" t="s">
        <v>329</v>
      </c>
      <c r="O19" s="70"/>
      <c r="P19" s="65"/>
      <c r="Q19" s="80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4.85" hidden="false" customHeight="false" outlineLevel="0" collapsed="false">
      <c r="B20" s="69" t="n">
        <v>14</v>
      </c>
      <c r="C20" s="78" t="s">
        <v>45</v>
      </c>
      <c r="D20" s="79" t="s">
        <v>3</v>
      </c>
      <c r="E20" s="0" t="s">
        <v>341</v>
      </c>
      <c r="I20" s="67" t="s">
        <v>324</v>
      </c>
      <c r="L20" s="0" t="s">
        <v>341</v>
      </c>
      <c r="N20" s="73" t="s">
        <v>167</v>
      </c>
      <c r="O20" s="70"/>
      <c r="P20" s="65"/>
      <c r="Q20" s="80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24.85" hidden="false" customHeight="false" outlineLevel="0" collapsed="false">
      <c r="B21" s="69" t="n">
        <v>15</v>
      </c>
      <c r="C21" s="78" t="s">
        <v>45</v>
      </c>
      <c r="D21" s="79" t="s">
        <v>3</v>
      </c>
      <c r="E21" s="0" t="s">
        <v>342</v>
      </c>
      <c r="I21" s="67" t="s">
        <v>324</v>
      </c>
      <c r="L21" s="86" t="s">
        <v>343</v>
      </c>
      <c r="N21" s="73" t="s">
        <v>167</v>
      </c>
      <c r="O21" s="70"/>
      <c r="P21" s="65"/>
      <c r="Q21" s="80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24.85" hidden="false" customHeight="false" outlineLevel="0" collapsed="false">
      <c r="B22" s="69" t="n">
        <v>16</v>
      </c>
      <c r="C22" s="78" t="s">
        <v>45</v>
      </c>
      <c r="D22" s="79" t="s">
        <v>3</v>
      </c>
      <c r="E22" s="0" t="s">
        <v>344</v>
      </c>
      <c r="I22" s="67" t="s">
        <v>324</v>
      </c>
      <c r="L22" s="86" t="s">
        <v>345</v>
      </c>
      <c r="N22" s="73" t="s">
        <v>167</v>
      </c>
      <c r="O22" s="70"/>
      <c r="P22" s="65"/>
      <c r="Q22" s="80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24.85" hidden="false" customHeight="false" outlineLevel="0" collapsed="false">
      <c r="B23" s="69" t="n">
        <v>17</v>
      </c>
      <c r="C23" s="78" t="s">
        <v>45</v>
      </c>
      <c r="D23" s="79" t="s">
        <v>3</v>
      </c>
      <c r="E23" s="0" t="s">
        <v>346</v>
      </c>
      <c r="I23" s="67" t="s">
        <v>324</v>
      </c>
      <c r="L23" s="0" t="s">
        <v>341</v>
      </c>
      <c r="N23" s="73" t="s">
        <v>167</v>
      </c>
      <c r="O23" s="70"/>
      <c r="P23" s="65"/>
      <c r="Q23" s="80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24.85" hidden="false" customHeight="false" outlineLevel="0" collapsed="false">
      <c r="B24" s="69" t="n">
        <v>18</v>
      </c>
      <c r="C24" s="78" t="s">
        <v>45</v>
      </c>
      <c r="D24" s="79" t="s">
        <v>3</v>
      </c>
      <c r="E24" s="65" t="s">
        <v>347</v>
      </c>
      <c r="F24" s="66"/>
      <c r="G24" s="66"/>
      <c r="H24" s="66" t="s">
        <v>348</v>
      </c>
      <c r="I24" s="67" t="s">
        <v>324</v>
      </c>
      <c r="J24" s="68"/>
      <c r="K24" s="69"/>
      <c r="L24" s="70" t="s">
        <v>349</v>
      </c>
      <c r="M24" s="71"/>
      <c r="N24" s="73" t="s">
        <v>167</v>
      </c>
      <c r="O24" s="70"/>
      <c r="P24" s="65"/>
      <c r="Q24" s="80" t="s">
        <v>296</v>
      </c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24.85" hidden="false" customHeight="false" outlineLevel="0" collapsed="false">
      <c r="B25" s="69" t="n">
        <v>19</v>
      </c>
      <c r="C25" s="78" t="s">
        <v>45</v>
      </c>
      <c r="D25" s="79" t="s">
        <v>3</v>
      </c>
      <c r="E25" s="65" t="s">
        <v>350</v>
      </c>
      <c r="F25" s="66"/>
      <c r="G25" s="66"/>
      <c r="H25" s="66"/>
      <c r="I25" s="67" t="s">
        <v>324</v>
      </c>
      <c r="J25" s="68"/>
      <c r="K25" s="69"/>
      <c r="L25" s="86" t="s">
        <v>351</v>
      </c>
      <c r="M25" s="71"/>
      <c r="N25" s="73" t="s">
        <v>167</v>
      </c>
      <c r="O25" s="70"/>
      <c r="P25" s="65"/>
      <c r="Q25" s="80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24.85" hidden="false" customHeight="false" outlineLevel="0" collapsed="false">
      <c r="B26" s="69" t="n">
        <v>20</v>
      </c>
      <c r="C26" s="78" t="s">
        <v>45</v>
      </c>
      <c r="D26" s="79" t="s">
        <v>3</v>
      </c>
      <c r="E26" s="65" t="s">
        <v>111</v>
      </c>
      <c r="F26" s="66"/>
      <c r="G26" s="66"/>
      <c r="H26" s="66"/>
      <c r="I26" s="67" t="s">
        <v>324</v>
      </c>
      <c r="J26" s="68"/>
      <c r="K26" s="69"/>
      <c r="L26" s="65" t="s">
        <v>112</v>
      </c>
      <c r="M26" s="71"/>
      <c r="N26" s="73" t="s">
        <v>167</v>
      </c>
      <c r="O26" s="70"/>
      <c r="P26" s="65"/>
      <c r="Q26" s="80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3.25" hidden="false" customHeight="false" outlineLevel="0" collapsed="false">
      <c r="B27" s="69" t="n">
        <v>21</v>
      </c>
      <c r="C27" s="78" t="s">
        <v>45</v>
      </c>
      <c r="D27" s="79" t="s">
        <v>62</v>
      </c>
      <c r="E27" s="65"/>
      <c r="F27" s="66"/>
      <c r="G27" s="66"/>
      <c r="H27" s="66"/>
      <c r="I27" s="67"/>
      <c r="J27" s="68"/>
      <c r="K27" s="69"/>
      <c r="L27" s="70"/>
      <c r="M27" s="71"/>
      <c r="N27" s="72"/>
      <c r="O27" s="70"/>
      <c r="P27" s="65"/>
      <c r="Q27" s="80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3.25" hidden="false" customHeight="false" outlineLevel="0" collapsed="false">
      <c r="B28" s="69" t="n">
        <v>22</v>
      </c>
      <c r="C28" s="78" t="s">
        <v>45</v>
      </c>
      <c r="D28" s="79" t="s">
        <v>62</v>
      </c>
      <c r="E28" s="65"/>
      <c r="F28" s="66"/>
      <c r="G28" s="66"/>
      <c r="H28" s="66"/>
      <c r="I28" s="67"/>
      <c r="J28" s="68"/>
      <c r="K28" s="69"/>
      <c r="L28" s="70"/>
      <c r="M28" s="71"/>
      <c r="N28" s="72"/>
      <c r="O28" s="70"/>
      <c r="P28" s="65"/>
      <c r="Q28" s="80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3.25" hidden="false" customHeight="false" outlineLevel="0" collapsed="false">
      <c r="B29" s="69" t="n">
        <v>23</v>
      </c>
      <c r="C29" s="78" t="s">
        <v>45</v>
      </c>
      <c r="D29" s="79" t="s">
        <v>62</v>
      </c>
      <c r="E29" s="65"/>
      <c r="F29" s="66"/>
      <c r="G29" s="66"/>
      <c r="H29" s="66"/>
      <c r="I29" s="67"/>
      <c r="J29" s="68"/>
      <c r="K29" s="69"/>
      <c r="L29" s="70"/>
      <c r="M29" s="65"/>
      <c r="N29" s="72"/>
      <c r="O29" s="70"/>
      <c r="P29" s="65"/>
      <c r="Q29" s="80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3.25" hidden="false" customHeight="false" outlineLevel="0" collapsed="false">
      <c r="B30" s="69" t="n">
        <v>24</v>
      </c>
      <c r="C30" s="78" t="s">
        <v>45</v>
      </c>
      <c r="D30" s="79" t="s">
        <v>62</v>
      </c>
      <c r="E30" s="65"/>
      <c r="F30" s="66"/>
      <c r="G30" s="66"/>
      <c r="H30" s="66"/>
      <c r="I30" s="67"/>
      <c r="J30" s="68"/>
      <c r="K30" s="69"/>
      <c r="L30" s="70"/>
      <c r="M30" s="65"/>
      <c r="N30" s="72"/>
      <c r="O30" s="70"/>
      <c r="P30" s="65"/>
      <c r="Q30" s="80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13.25" hidden="false" customHeight="false" outlineLevel="0" collapsed="false">
      <c r="B31" s="69" t="n">
        <v>1</v>
      </c>
      <c r="C31" s="78" t="s">
        <v>86</v>
      </c>
      <c r="D31" s="79" t="s">
        <v>62</v>
      </c>
      <c r="E31" s="71"/>
      <c r="F31" s="66"/>
      <c r="G31" s="66"/>
      <c r="H31" s="66"/>
      <c r="I31" s="67"/>
      <c r="J31" s="68"/>
      <c r="K31" s="69"/>
      <c r="L31" s="70"/>
      <c r="M31" s="71"/>
      <c r="N31" s="72"/>
      <c r="O31" s="70"/>
      <c r="P31" s="65"/>
      <c r="Q31" s="80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13.25" hidden="false" customHeight="false" outlineLevel="0" collapsed="false">
      <c r="B32" s="69" t="n">
        <v>2</v>
      </c>
      <c r="C32" s="78" t="s">
        <v>86</v>
      </c>
      <c r="D32" s="79" t="s">
        <v>62</v>
      </c>
      <c r="E32" s="71"/>
      <c r="F32" s="66"/>
      <c r="G32" s="66"/>
      <c r="H32" s="66"/>
      <c r="I32" s="67"/>
      <c r="J32" s="68"/>
      <c r="K32" s="69"/>
      <c r="L32" s="70"/>
      <c r="M32" s="71"/>
      <c r="N32" s="72"/>
      <c r="O32" s="70"/>
      <c r="P32" s="65"/>
      <c r="Q32" s="80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13.25" hidden="false" customHeight="false" outlineLevel="0" collapsed="false">
      <c r="B33" s="69" t="n">
        <v>3</v>
      </c>
      <c r="C33" s="78" t="s">
        <v>86</v>
      </c>
      <c r="D33" s="79" t="s">
        <v>62</v>
      </c>
      <c r="E33" s="65"/>
      <c r="F33" s="66"/>
      <c r="G33" s="66"/>
      <c r="H33" s="66"/>
      <c r="I33" s="67"/>
      <c r="J33" s="68"/>
      <c r="K33" s="69"/>
      <c r="L33" s="70"/>
      <c r="M33" s="71"/>
      <c r="N33" s="72"/>
      <c r="O33" s="70"/>
      <c r="P33" s="65"/>
      <c r="Q33" s="80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13.25" hidden="false" customHeight="false" outlineLevel="0" collapsed="false">
      <c r="B34" s="69" t="n">
        <v>4</v>
      </c>
      <c r="C34" s="78" t="s">
        <v>86</v>
      </c>
      <c r="D34" s="79" t="s">
        <v>62</v>
      </c>
      <c r="E34" s="65"/>
      <c r="F34" s="66"/>
      <c r="G34" s="66"/>
      <c r="H34" s="66"/>
      <c r="I34" s="67"/>
      <c r="J34" s="68"/>
      <c r="K34" s="69"/>
      <c r="L34" s="70"/>
      <c r="M34" s="71"/>
      <c r="N34" s="72"/>
      <c r="O34" s="70"/>
      <c r="P34" s="65"/>
      <c r="Q34" s="80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13.25" hidden="false" customHeight="false" outlineLevel="0" collapsed="false">
      <c r="B35" s="69" t="n">
        <v>5</v>
      </c>
      <c r="C35" s="78" t="s">
        <v>86</v>
      </c>
      <c r="D35" s="79" t="s">
        <v>62</v>
      </c>
      <c r="E35" s="65"/>
      <c r="F35" s="66"/>
      <c r="G35" s="66"/>
      <c r="H35" s="66"/>
      <c r="I35" s="67"/>
      <c r="J35" s="68"/>
      <c r="K35" s="69"/>
      <c r="L35" s="70"/>
      <c r="M35" s="71"/>
      <c r="N35" s="72"/>
      <c r="O35" s="70"/>
      <c r="P35" s="65"/>
      <c r="Q35" s="80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13.25" hidden="false" customHeight="false" outlineLevel="0" collapsed="false">
      <c r="B36" s="69" t="n">
        <v>6</v>
      </c>
      <c r="C36" s="78" t="s">
        <v>86</v>
      </c>
      <c r="D36" s="79" t="s">
        <v>62</v>
      </c>
      <c r="E36" s="65"/>
      <c r="F36" s="66"/>
      <c r="G36" s="66"/>
      <c r="H36" s="66"/>
      <c r="I36" s="67"/>
      <c r="J36" s="68"/>
      <c r="K36" s="69"/>
      <c r="L36" s="70"/>
      <c r="M36" s="71"/>
      <c r="N36" s="72"/>
      <c r="O36" s="70"/>
      <c r="P36" s="65"/>
      <c r="Q36" s="80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13.25" hidden="false" customHeight="false" outlineLevel="0" collapsed="false">
      <c r="B37" s="69" t="n">
        <v>7</v>
      </c>
      <c r="C37" s="78" t="s">
        <v>86</v>
      </c>
      <c r="D37" s="79" t="s">
        <v>62</v>
      </c>
      <c r="E37" s="65"/>
      <c r="F37" s="66"/>
      <c r="G37" s="66"/>
      <c r="H37" s="66"/>
      <c r="I37" s="67"/>
      <c r="J37" s="68"/>
      <c r="K37" s="69"/>
      <c r="L37" s="70"/>
      <c r="M37" s="71"/>
      <c r="N37" s="72"/>
      <c r="O37" s="70"/>
      <c r="P37" s="65"/>
      <c r="Q37" s="80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13.25" hidden="false" customHeight="false" outlineLevel="0" collapsed="false">
      <c r="B38" s="69" t="n">
        <v>8</v>
      </c>
      <c r="C38" s="78" t="s">
        <v>86</v>
      </c>
      <c r="D38" s="79" t="s">
        <v>62</v>
      </c>
      <c r="E38" s="81"/>
      <c r="F38" s="66"/>
      <c r="G38" s="66"/>
      <c r="H38" s="66"/>
      <c r="I38" s="67"/>
      <c r="J38" s="68"/>
      <c r="K38" s="69"/>
      <c r="L38" s="65"/>
      <c r="M38" s="71"/>
      <c r="N38" s="72"/>
      <c r="O38" s="70"/>
      <c r="P38" s="65"/>
      <c r="Q38" s="80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13.25" hidden="false" customHeight="false" outlineLevel="0" collapsed="false">
      <c r="B39" s="69" t="n">
        <v>9</v>
      </c>
      <c r="C39" s="78" t="s">
        <v>86</v>
      </c>
      <c r="D39" s="79" t="s">
        <v>62</v>
      </c>
      <c r="E39" s="65"/>
      <c r="F39" s="66"/>
      <c r="G39" s="66"/>
      <c r="H39" s="66"/>
      <c r="I39" s="67"/>
      <c r="J39" s="68"/>
      <c r="K39" s="69"/>
      <c r="L39" s="70"/>
      <c r="M39" s="71"/>
      <c r="N39" s="72"/>
      <c r="O39" s="70"/>
      <c r="P39" s="65"/>
      <c r="Q39" s="80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13.25" hidden="false" customHeight="false" outlineLevel="0" collapsed="false">
      <c r="B40" s="69" t="n">
        <v>10</v>
      </c>
      <c r="C40" s="78" t="s">
        <v>86</v>
      </c>
      <c r="D40" s="79" t="s">
        <v>62</v>
      </c>
      <c r="E40" s="65"/>
      <c r="F40" s="66"/>
      <c r="G40" s="66"/>
      <c r="H40" s="66"/>
      <c r="I40" s="67"/>
      <c r="J40" s="68"/>
      <c r="K40" s="69"/>
      <c r="L40" s="70"/>
      <c r="M40" s="71"/>
      <c r="N40" s="72"/>
      <c r="O40" s="70"/>
      <c r="P40" s="65"/>
      <c r="Q40" s="80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13.25" hidden="false" customHeight="false" outlineLevel="0" collapsed="false">
      <c r="B41" s="69" t="n">
        <v>11</v>
      </c>
      <c r="C41" s="78" t="s">
        <v>86</v>
      </c>
      <c r="D41" s="79" t="s">
        <v>62</v>
      </c>
      <c r="E41" s="65"/>
      <c r="F41" s="66"/>
      <c r="G41" s="66"/>
      <c r="H41" s="66"/>
      <c r="I41" s="67"/>
      <c r="J41" s="68"/>
      <c r="K41" s="69"/>
      <c r="L41" s="70"/>
      <c r="M41" s="71"/>
      <c r="N41" s="72"/>
      <c r="O41" s="70"/>
      <c r="P41" s="65"/>
      <c r="Q41" s="80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13.25" hidden="false" customHeight="false" outlineLevel="0" collapsed="false">
      <c r="B42" s="69" t="n">
        <v>12</v>
      </c>
      <c r="C42" s="78" t="s">
        <v>86</v>
      </c>
      <c r="D42" s="79" t="s">
        <v>62</v>
      </c>
      <c r="E42" s="81"/>
      <c r="F42" s="66"/>
      <c r="G42" s="66"/>
      <c r="H42" s="66"/>
      <c r="I42" s="67"/>
      <c r="J42" s="68"/>
      <c r="K42" s="69"/>
      <c r="L42" s="65"/>
      <c r="M42" s="71"/>
      <c r="N42" s="72"/>
      <c r="O42" s="70"/>
      <c r="P42" s="65"/>
      <c r="Q42" s="80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13.25" hidden="false" customHeight="false" outlineLevel="0" collapsed="false">
      <c r="B43" s="69" t="n">
        <v>13</v>
      </c>
      <c r="C43" s="78" t="s">
        <v>86</v>
      </c>
      <c r="D43" s="79" t="s">
        <v>62</v>
      </c>
      <c r="E43" s="65"/>
      <c r="F43" s="66"/>
      <c r="G43" s="66"/>
      <c r="H43" s="66"/>
      <c r="I43" s="67"/>
      <c r="J43" s="68"/>
      <c r="K43" s="69"/>
      <c r="L43" s="70"/>
      <c r="M43" s="71"/>
      <c r="N43" s="72"/>
      <c r="O43" s="70"/>
      <c r="P43" s="65"/>
      <c r="Q43" s="80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13.25" hidden="false" customHeight="false" outlineLevel="0" collapsed="false">
      <c r="B44" s="69" t="n">
        <v>14</v>
      </c>
      <c r="C44" s="78" t="s">
        <v>86</v>
      </c>
      <c r="D44" s="79" t="s">
        <v>62</v>
      </c>
      <c r="E44" s="65"/>
      <c r="F44" s="66"/>
      <c r="G44" s="66"/>
      <c r="H44" s="66"/>
      <c r="I44" s="67"/>
      <c r="J44" s="68"/>
      <c r="K44" s="69"/>
      <c r="L44" s="70"/>
      <c r="M44" s="71"/>
      <c r="N44" s="72"/>
      <c r="O44" s="70"/>
      <c r="P44" s="65"/>
      <c r="Q44" s="80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13.25" hidden="false" customHeight="false" outlineLevel="0" collapsed="false">
      <c r="B45" s="69" t="n">
        <v>15</v>
      </c>
      <c r="C45" s="78" t="s">
        <v>86</v>
      </c>
      <c r="D45" s="79" t="s">
        <v>62</v>
      </c>
      <c r="E45" s="65"/>
      <c r="F45" s="66"/>
      <c r="G45" s="66"/>
      <c r="H45" s="66"/>
      <c r="I45" s="67"/>
      <c r="J45" s="68"/>
      <c r="K45" s="69"/>
      <c r="L45" s="70"/>
      <c r="M45" s="71"/>
      <c r="N45" s="72"/>
      <c r="O45" s="70"/>
      <c r="P45" s="65"/>
      <c r="Q45" s="80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13.25" hidden="false" customHeight="false" outlineLevel="0" collapsed="false">
      <c r="B46" s="69" t="n">
        <v>16</v>
      </c>
      <c r="C46" s="78" t="s">
        <v>86</v>
      </c>
      <c r="D46" s="79" t="s">
        <v>62</v>
      </c>
      <c r="E46" s="65"/>
      <c r="F46" s="66"/>
      <c r="G46" s="66"/>
      <c r="H46" s="66"/>
      <c r="I46" s="67"/>
      <c r="J46" s="68"/>
      <c r="K46" s="69"/>
      <c r="L46" s="70"/>
      <c r="M46" s="71"/>
      <c r="N46" s="72"/>
      <c r="O46" s="70"/>
      <c r="P46" s="65"/>
      <c r="Q46" s="80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13.25" hidden="false" customHeight="false" outlineLevel="0" collapsed="false">
      <c r="B47" s="69" t="n">
        <v>17</v>
      </c>
      <c r="C47" s="78" t="s">
        <v>86</v>
      </c>
      <c r="D47" s="79" t="s">
        <v>62</v>
      </c>
      <c r="E47" s="65"/>
      <c r="F47" s="66"/>
      <c r="G47" s="66"/>
      <c r="H47" s="66"/>
      <c r="I47" s="67"/>
      <c r="J47" s="68"/>
      <c r="K47" s="69"/>
      <c r="L47" s="70"/>
      <c r="M47" s="71"/>
      <c r="N47" s="72"/>
      <c r="O47" s="70"/>
      <c r="P47" s="65"/>
      <c r="Q47" s="80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13.25" hidden="false" customHeight="false" outlineLevel="0" collapsed="false">
      <c r="B48" s="69" t="n">
        <v>18</v>
      </c>
      <c r="C48" s="78" t="s">
        <v>86</v>
      </c>
      <c r="D48" s="79" t="s">
        <v>62</v>
      </c>
      <c r="E48" s="65"/>
      <c r="F48" s="66"/>
      <c r="G48" s="66"/>
      <c r="H48" s="66"/>
      <c r="I48" s="67"/>
      <c r="J48" s="68"/>
      <c r="K48" s="69"/>
      <c r="L48" s="70"/>
      <c r="M48" s="71"/>
      <c r="N48" s="72"/>
      <c r="O48" s="70"/>
      <c r="P48" s="65"/>
      <c r="Q48" s="80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13.25" hidden="false" customHeight="false" outlineLevel="0" collapsed="false">
      <c r="B49" s="69" t="n">
        <v>19</v>
      </c>
      <c r="C49" s="78" t="s">
        <v>86</v>
      </c>
      <c r="D49" s="79" t="s">
        <v>62</v>
      </c>
      <c r="E49" s="65"/>
      <c r="F49" s="66"/>
      <c r="G49" s="66"/>
      <c r="H49" s="66"/>
      <c r="I49" s="67"/>
      <c r="J49" s="68"/>
      <c r="K49" s="69"/>
      <c r="L49" s="70"/>
      <c r="M49" s="71"/>
      <c r="N49" s="72"/>
      <c r="O49" s="70"/>
      <c r="P49" s="65"/>
      <c r="Q49" s="80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13.25" hidden="false" customHeight="false" outlineLevel="0" collapsed="false">
      <c r="B50" s="69" t="n">
        <v>20</v>
      </c>
      <c r="C50" s="78" t="s">
        <v>86</v>
      </c>
      <c r="D50" s="79" t="s">
        <v>62</v>
      </c>
      <c r="E50" s="65"/>
      <c r="F50" s="66"/>
      <c r="G50" s="66"/>
      <c r="H50" s="66"/>
      <c r="I50" s="67"/>
      <c r="J50" s="68"/>
      <c r="K50" s="69"/>
      <c r="L50" s="70"/>
      <c r="M50" s="71"/>
      <c r="N50" s="72"/>
      <c r="O50" s="70"/>
      <c r="P50" s="65"/>
      <c r="Q50" s="80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13.25" hidden="false" customHeight="false" outlineLevel="0" collapsed="false">
      <c r="B51" s="69" t="n">
        <v>21</v>
      </c>
      <c r="C51" s="78" t="s">
        <v>86</v>
      </c>
      <c r="D51" s="79" t="s">
        <v>62</v>
      </c>
      <c r="E51" s="65"/>
      <c r="F51" s="66"/>
      <c r="G51" s="66"/>
      <c r="H51" s="66"/>
      <c r="I51" s="67"/>
      <c r="J51" s="68"/>
      <c r="K51" s="69"/>
      <c r="L51" s="70"/>
      <c r="M51" s="71"/>
      <c r="N51" s="72"/>
      <c r="O51" s="70"/>
      <c r="P51" s="65"/>
      <c r="Q51" s="80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13.25" hidden="false" customHeight="false" outlineLevel="0" collapsed="false">
      <c r="B52" s="69" t="n">
        <v>22</v>
      </c>
      <c r="C52" s="78" t="s">
        <v>86</v>
      </c>
      <c r="D52" s="79" t="s">
        <v>62</v>
      </c>
      <c r="E52" s="65"/>
      <c r="F52" s="66"/>
      <c r="G52" s="66"/>
      <c r="H52" s="66"/>
      <c r="I52" s="67"/>
      <c r="J52" s="68"/>
      <c r="K52" s="69"/>
      <c r="L52" s="70"/>
      <c r="M52" s="71"/>
      <c r="N52" s="72"/>
      <c r="O52" s="70"/>
      <c r="P52" s="65"/>
      <c r="Q52" s="80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13.25" hidden="false" customHeight="false" outlineLevel="0" collapsed="false">
      <c r="B53" s="69" t="n">
        <v>23</v>
      </c>
      <c r="C53" s="78" t="s">
        <v>86</v>
      </c>
      <c r="D53" s="79" t="s">
        <v>62</v>
      </c>
      <c r="E53" s="65"/>
      <c r="F53" s="66"/>
      <c r="G53" s="66"/>
      <c r="H53" s="66"/>
      <c r="I53" s="67"/>
      <c r="J53" s="68"/>
      <c r="K53" s="69"/>
      <c r="L53" s="70"/>
      <c r="M53" s="65"/>
      <c r="N53" s="72"/>
      <c r="O53" s="70"/>
      <c r="P53" s="65"/>
      <c r="Q53" s="80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13.25" hidden="false" customHeight="false" outlineLevel="0" collapsed="false">
      <c r="B54" s="69" t="n">
        <v>24</v>
      </c>
      <c r="C54" s="78" t="s">
        <v>86</v>
      </c>
      <c r="D54" s="79" t="s">
        <v>62</v>
      </c>
      <c r="F54" s="66"/>
      <c r="G54" s="66"/>
      <c r="H54" s="66"/>
      <c r="I54" s="67"/>
      <c r="J54" s="68"/>
      <c r="K54" s="69"/>
      <c r="L54" s="70"/>
      <c r="M54" s="71"/>
      <c r="N54" s="72"/>
      <c r="O54" s="70"/>
      <c r="P54" s="65"/>
      <c r="Q54" s="80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19 H24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10 F12:F19 F24:F54" type="whole">
      <formula1>0</formula1>
      <formula2>1000</formula2>
    </dataValidation>
    <dataValidation allowBlank="true" operator="equal" showDropDown="false" showErrorMessage="true" showInputMessage="false" sqref="J7:J10 J12:J19 J24:J54" type="list">
      <formula1>"K,L3,L2,L1"</formula1>
      <formula2>0</formula2>
    </dataValidation>
    <dataValidation allowBlank="true" operator="equal" showDropDown="false" showErrorMessage="true" showInputMessage="false" sqref="K7:K10 K12:K19 K24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F7" activeCellId="1" sqref="N25 F7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352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177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13.25" hidden="false" customHeight="false" outlineLevel="0" collapsed="false">
      <c r="B7" s="69" t="n">
        <v>11</v>
      </c>
      <c r="C7" s="78" t="s">
        <v>45</v>
      </c>
      <c r="D7" s="79" t="s">
        <v>62</v>
      </c>
      <c r="E7" s="65"/>
      <c r="F7" s="66"/>
      <c r="G7" s="66"/>
      <c r="H7" s="66"/>
      <c r="I7" s="67"/>
      <c r="J7" s="68"/>
      <c r="K7" s="69"/>
      <c r="L7" s="70"/>
      <c r="M7" s="71"/>
      <c r="N7" s="72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13.25" hidden="false" customHeight="false" outlineLevel="0" collapsed="false">
      <c r="B8" s="69" t="n">
        <v>12</v>
      </c>
      <c r="C8" s="78" t="s">
        <v>45</v>
      </c>
      <c r="D8" s="79" t="s">
        <v>3</v>
      </c>
      <c r="E8" s="65" t="s">
        <v>353</v>
      </c>
      <c r="F8" s="66"/>
      <c r="G8" s="66"/>
      <c r="H8" s="66"/>
      <c r="I8" s="67"/>
      <c r="J8" s="68"/>
      <c r="K8" s="69"/>
      <c r="L8" s="86" t="s">
        <v>354</v>
      </c>
      <c r="M8" s="71"/>
      <c r="N8" s="73" t="s">
        <v>355</v>
      </c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13.25" hidden="false" customHeight="false" outlineLevel="0" collapsed="false">
      <c r="B9" s="69" t="n">
        <v>13</v>
      </c>
      <c r="C9" s="78" t="s">
        <v>45</v>
      </c>
      <c r="D9" s="79" t="s">
        <v>3</v>
      </c>
      <c r="E9" s="65" t="s">
        <v>356</v>
      </c>
      <c r="F9" s="66"/>
      <c r="G9" s="66"/>
      <c r="H9" s="66"/>
      <c r="I9" s="67"/>
      <c r="J9" s="68"/>
      <c r="K9" s="69"/>
      <c r="L9" s="70" t="s">
        <v>357</v>
      </c>
      <c r="M9" s="71"/>
      <c r="N9" s="73" t="s">
        <v>355</v>
      </c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13.25" hidden="false" customHeight="false" outlineLevel="0" collapsed="false">
      <c r="B10" s="69" t="n">
        <v>14</v>
      </c>
      <c r="C10" s="78" t="s">
        <v>45</v>
      </c>
      <c r="D10" s="79" t="s">
        <v>3</v>
      </c>
      <c r="E10" s="0" t="s">
        <v>358</v>
      </c>
      <c r="I10" s="67"/>
      <c r="L10" s="0" t="s">
        <v>359</v>
      </c>
      <c r="N10" s="73" t="s">
        <v>355</v>
      </c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3.25" hidden="false" customHeight="false" outlineLevel="0" collapsed="false">
      <c r="B11" s="69" t="n">
        <v>15</v>
      </c>
      <c r="C11" s="78" t="s">
        <v>45</v>
      </c>
      <c r="D11" s="79" t="s">
        <v>3</v>
      </c>
      <c r="E11" s="0" t="s">
        <v>360</v>
      </c>
      <c r="I11" s="67"/>
      <c r="L11" s="86" t="s">
        <v>361</v>
      </c>
      <c r="N11" s="73" t="s">
        <v>355</v>
      </c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3.25" hidden="false" customHeight="false" outlineLevel="0" collapsed="false">
      <c r="B12" s="69" t="n">
        <v>16</v>
      </c>
      <c r="C12" s="78" t="s">
        <v>45</v>
      </c>
      <c r="D12" s="79" t="s">
        <v>3</v>
      </c>
      <c r="E12" s="0" t="s">
        <v>362</v>
      </c>
      <c r="I12" s="67"/>
      <c r="L12" s="86" t="s">
        <v>363</v>
      </c>
      <c r="N12" s="73" t="s">
        <v>355</v>
      </c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24.85" hidden="false" customHeight="false" outlineLevel="0" collapsed="false">
      <c r="B13" s="69" t="n">
        <v>17</v>
      </c>
      <c r="C13" s="78" t="s">
        <v>45</v>
      </c>
      <c r="D13" s="79" t="s">
        <v>3</v>
      </c>
      <c r="E13" s="0" t="s">
        <v>364</v>
      </c>
      <c r="I13" s="67"/>
      <c r="L13" s="0" t="s">
        <v>365</v>
      </c>
      <c r="N13" s="73" t="s">
        <v>366</v>
      </c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3.25" hidden="false" customHeight="false" outlineLevel="0" collapsed="false">
      <c r="B14" s="69" t="n">
        <v>18</v>
      </c>
      <c r="C14" s="78" t="s">
        <v>45</v>
      </c>
      <c r="D14" s="79" t="s">
        <v>3</v>
      </c>
      <c r="E14" s="65" t="s">
        <v>367</v>
      </c>
      <c r="F14" s="66"/>
      <c r="G14" s="66"/>
      <c r="H14" s="66"/>
      <c r="I14" s="67"/>
      <c r="J14" s="68"/>
      <c r="K14" s="69"/>
      <c r="L14" s="70" t="s">
        <v>368</v>
      </c>
      <c r="M14" s="71"/>
      <c r="N14" s="73" t="s">
        <v>355</v>
      </c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3.25" hidden="false" customHeight="false" outlineLevel="0" collapsed="false">
      <c r="B15" s="69" t="n">
        <v>19</v>
      </c>
      <c r="C15" s="78" t="s">
        <v>45</v>
      </c>
      <c r="D15" s="79" t="s">
        <v>3</v>
      </c>
      <c r="E15" s="65" t="s">
        <v>369</v>
      </c>
      <c r="F15" s="66"/>
      <c r="G15" s="66"/>
      <c r="H15" s="66"/>
      <c r="I15" s="67"/>
      <c r="J15" s="68"/>
      <c r="K15" s="69"/>
      <c r="L15" s="86" t="s">
        <v>370</v>
      </c>
      <c r="M15" s="71"/>
      <c r="N15" s="73" t="s">
        <v>355</v>
      </c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3.25" hidden="false" customHeight="false" outlineLevel="0" collapsed="false">
      <c r="B16" s="69" t="n">
        <v>20</v>
      </c>
      <c r="C16" s="78" t="s">
        <v>45</v>
      </c>
      <c r="D16" s="79" t="s">
        <v>3</v>
      </c>
      <c r="E16" s="65" t="s">
        <v>371</v>
      </c>
      <c r="F16" s="66"/>
      <c r="G16" s="66"/>
      <c r="H16" s="66"/>
      <c r="I16" s="67"/>
      <c r="J16" s="68"/>
      <c r="K16" s="69"/>
      <c r="L16" s="65" t="s">
        <v>372</v>
      </c>
      <c r="M16" s="71"/>
      <c r="N16" s="73" t="s">
        <v>355</v>
      </c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69" t="n">
        <v>21</v>
      </c>
      <c r="C17" s="78" t="s">
        <v>45</v>
      </c>
      <c r="D17" s="79" t="s">
        <v>62</v>
      </c>
      <c r="E17" s="65" t="s">
        <v>373</v>
      </c>
      <c r="F17" s="66"/>
      <c r="G17" s="66"/>
      <c r="H17" s="66"/>
      <c r="I17" s="67"/>
      <c r="J17" s="68"/>
      <c r="K17" s="69"/>
      <c r="L17" s="70" t="s">
        <v>374</v>
      </c>
      <c r="M17" s="71"/>
      <c r="N17" s="72"/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69" t="n">
        <v>22</v>
      </c>
      <c r="C18" s="78" t="s">
        <v>45</v>
      </c>
      <c r="D18" s="79" t="s">
        <v>62</v>
      </c>
      <c r="E18" s="65"/>
      <c r="F18" s="66"/>
      <c r="G18" s="66"/>
      <c r="H18" s="66"/>
      <c r="I18" s="67"/>
      <c r="J18" s="68"/>
      <c r="K18" s="69"/>
      <c r="L18" s="70"/>
      <c r="M18" s="71"/>
      <c r="N18" s="72"/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3.25" hidden="false" customHeight="false" outlineLevel="0" collapsed="false">
      <c r="B19" s="69" t="n">
        <v>11</v>
      </c>
      <c r="C19" s="78" t="s">
        <v>86</v>
      </c>
      <c r="D19" s="79" t="s">
        <v>62</v>
      </c>
      <c r="E19" s="65"/>
      <c r="F19" s="66"/>
      <c r="G19" s="66"/>
      <c r="H19" s="66"/>
      <c r="I19" s="67"/>
      <c r="J19" s="68"/>
      <c r="K19" s="69"/>
      <c r="L19" s="70"/>
      <c r="M19" s="71"/>
      <c r="N19" s="72"/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4.85" hidden="false" customHeight="false" outlineLevel="0" collapsed="false">
      <c r="B20" s="69" t="n">
        <v>12</v>
      </c>
      <c r="C20" s="78" t="s">
        <v>86</v>
      </c>
      <c r="D20" s="79" t="s">
        <v>3</v>
      </c>
      <c r="E20" s="81" t="s">
        <v>375</v>
      </c>
      <c r="F20" s="66"/>
      <c r="G20" s="66"/>
      <c r="H20" s="66"/>
      <c r="I20" s="67" t="s">
        <v>376</v>
      </c>
      <c r="J20" s="68"/>
      <c r="K20" s="69"/>
      <c r="L20" s="65" t="s">
        <v>377</v>
      </c>
      <c r="M20" s="71"/>
      <c r="N20" s="73" t="s">
        <v>167</v>
      </c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3.25" hidden="false" customHeight="false" outlineLevel="0" collapsed="false">
      <c r="B21" s="69" t="n">
        <v>13</v>
      </c>
      <c r="C21" s="78" t="s">
        <v>86</v>
      </c>
      <c r="D21" s="79" t="s">
        <v>3</v>
      </c>
      <c r="E21" s="29"/>
      <c r="F21" s="13"/>
      <c r="G21" s="13"/>
      <c r="H21" s="13"/>
      <c r="I21" s="54"/>
      <c r="J21" s="55"/>
      <c r="K21" s="50"/>
      <c r="L21" s="56"/>
      <c r="M21" s="53"/>
      <c r="N21" s="57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3.25" hidden="false" customHeight="false" outlineLevel="0" collapsed="false">
      <c r="B22" s="69" t="n">
        <v>14</v>
      </c>
      <c r="C22" s="78" t="s">
        <v>86</v>
      </c>
      <c r="D22" s="79" t="s">
        <v>3</v>
      </c>
      <c r="E22" s="29"/>
      <c r="F22" s="13"/>
      <c r="G22" s="13"/>
      <c r="H22" s="13"/>
      <c r="I22" s="54"/>
      <c r="J22" s="55"/>
      <c r="K22" s="50"/>
      <c r="M22" s="53"/>
      <c r="N22" s="57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3.25" hidden="false" customHeight="false" outlineLevel="0" collapsed="false">
      <c r="B23" s="69" t="n">
        <v>15</v>
      </c>
      <c r="C23" s="78" t="s">
        <v>86</v>
      </c>
      <c r="D23" s="79" t="s">
        <v>3</v>
      </c>
      <c r="E23" s="29"/>
      <c r="F23" s="13"/>
      <c r="G23" s="13"/>
      <c r="H23" s="13"/>
      <c r="I23" s="54"/>
      <c r="J23" s="55"/>
      <c r="K23" s="50"/>
      <c r="L23" s="56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3.25" hidden="false" customHeight="false" outlineLevel="0" collapsed="false">
      <c r="B24" s="69" t="n">
        <v>16</v>
      </c>
      <c r="C24" s="78" t="s">
        <v>86</v>
      </c>
      <c r="D24" s="79" t="s">
        <v>3</v>
      </c>
      <c r="E24" s="29"/>
      <c r="F24" s="13"/>
      <c r="G24" s="13"/>
      <c r="H24" s="13"/>
      <c r="I24" s="54"/>
      <c r="J24" s="55"/>
      <c r="K24" s="50"/>
      <c r="L24" s="56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3.25" hidden="false" customHeight="false" outlineLevel="0" collapsed="false">
      <c r="B25" s="69" t="n">
        <v>17</v>
      </c>
      <c r="C25" s="78" t="s">
        <v>86</v>
      </c>
      <c r="D25" s="79" t="s">
        <v>3</v>
      </c>
      <c r="E25" s="29"/>
      <c r="F25" s="13"/>
      <c r="G25" s="13"/>
      <c r="H25" s="13"/>
      <c r="I25" s="54"/>
      <c r="J25" s="55"/>
      <c r="K25" s="50"/>
      <c r="L25" s="56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3.25" hidden="false" customHeight="false" outlineLevel="0" collapsed="false">
      <c r="B26" s="69" t="n">
        <v>18</v>
      </c>
      <c r="C26" s="78" t="s">
        <v>86</v>
      </c>
      <c r="D26" s="79" t="s">
        <v>3</v>
      </c>
      <c r="E26" s="29"/>
      <c r="F26" s="13"/>
      <c r="G26" s="13"/>
      <c r="H26" s="13"/>
      <c r="I26" s="54"/>
      <c r="J26" s="55"/>
      <c r="K26" s="50"/>
      <c r="L26" s="29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3.25" hidden="false" customHeight="false" outlineLevel="0" collapsed="false">
      <c r="B27" s="69" t="n">
        <v>19</v>
      </c>
      <c r="C27" s="78" t="s">
        <v>86</v>
      </c>
      <c r="D27" s="79" t="s">
        <v>3</v>
      </c>
      <c r="E27" s="29"/>
      <c r="F27" s="13"/>
      <c r="G27" s="13"/>
      <c r="H27" s="13"/>
      <c r="I27" s="54"/>
      <c r="J27" s="55"/>
      <c r="K27" s="50"/>
      <c r="L27" s="56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3.25" hidden="false" customHeight="false" outlineLevel="0" collapsed="false">
      <c r="B28" s="69" t="n">
        <v>20</v>
      </c>
      <c r="C28" s="78" t="s">
        <v>86</v>
      </c>
      <c r="D28" s="79" t="s">
        <v>3</v>
      </c>
      <c r="E28" s="29"/>
      <c r="F28" s="13"/>
      <c r="G28" s="13"/>
      <c r="H28" s="13"/>
      <c r="I28" s="54"/>
      <c r="J28" s="55"/>
      <c r="K28" s="50"/>
      <c r="L28" s="56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3.25" hidden="false" customHeight="false" outlineLevel="0" collapsed="false">
      <c r="B29" s="69" t="n">
        <v>21</v>
      </c>
      <c r="C29" s="78" t="s">
        <v>86</v>
      </c>
      <c r="D29" s="79" t="s">
        <v>3</v>
      </c>
      <c r="E29" s="29"/>
      <c r="F29" s="13"/>
      <c r="G29" s="13"/>
      <c r="H29" s="13"/>
      <c r="I29" s="54"/>
      <c r="J29" s="55"/>
      <c r="K29" s="50"/>
      <c r="L29" s="56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3.25" hidden="false" customHeight="false" outlineLevel="0" collapsed="false">
      <c r="B30" s="69" t="n">
        <v>22</v>
      </c>
      <c r="C30" s="78" t="s">
        <v>86</v>
      </c>
      <c r="D30" s="79" t="s">
        <v>3</v>
      </c>
      <c r="E30" s="29"/>
      <c r="F30" s="13"/>
      <c r="G30" s="13"/>
      <c r="H30" s="13"/>
      <c r="I30" s="54"/>
      <c r="J30" s="55"/>
      <c r="K30" s="50"/>
      <c r="L30" s="56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9">
    <dataValidation allowBlank="true" operator="equal" showDropDown="false" showErrorMessage="true" showInputMessage="false" sqref="W6:AB30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19 B21:B30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R6:V6 S7:V30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9 H14:H19 H21:H3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19 I21:I3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19 D21:D30" type="list">
      <formula1>"Yes,No"</formula1>
      <formula2>0</formula2>
    </dataValidation>
    <dataValidation allowBlank="true" operator="between" showDropDown="false" showErrorMessage="true" showInputMessage="false" sqref="F7:F9 F14:F19 F21:F30" type="whole">
      <formula1>0</formula1>
      <formula2>1000</formula2>
    </dataValidation>
    <dataValidation allowBlank="true" operator="equal" showDropDown="false" showErrorMessage="true" showInputMessage="false" sqref="J7:J9 J14:J19 J21:J30" type="list">
      <formula1>"K,L3,L2,L1"</formula1>
      <formula2>0</formula2>
    </dataValidation>
    <dataValidation allowBlank="true" operator="equal" showDropDown="false" showErrorMessage="true" showInputMessage="false" sqref="K7:K9 K14:K19 K21:K30" type="list">
      <formula1>"unfocused,focused"</formula1>
      <formula2>0</formula2>
    </dataValidation>
    <dataValidation allowBlank="true" operator="equal" showDropDown="false" showErrorMessage="true" showInputMessage="false" sqref="C7:C19 C21:C30" type="list">
      <formula1>"Outer,Inner,"</formula1>
      <formula2>0</formula2>
    </dataValidation>
    <dataValidation allowBlank="true" operator="between" showDropDown="false" showErrorMessage="true" showInputMessage="false" sqref="S31:V48" type="none">
      <formula1>-150</formula1>
      <formula2>150</formula2>
    </dataValidation>
    <dataValidation allowBlank="true" operator="between" showDropDown="false" showErrorMessage="true" showInputMessage="false" sqref="B20" type="whole">
      <formula1>1</formula1>
      <formula2>24</formula2>
    </dataValidation>
    <dataValidation allowBlank="true" operator="equal" showDropDown="false" showErrorMessage="true" showInputMessage="false" sqref="C20" type="list">
      <formula1>"Outer,Inner,"</formula1>
      <formula2>0</formula2>
    </dataValidation>
    <dataValidation allowBlank="true" operator="equal" showDropDown="false" showErrorMessage="true" showInputMessage="false" sqref="D20" type="list">
      <formula1>"Yes,No"</formula1>
      <formula2>0</formula2>
    </dataValidation>
    <dataValidation allowBlank="true" operator="between" showDropDown="false" showErrorMessage="true" showInputMessage="false" sqref="F20" type="whole">
      <formula1>0</formula1>
      <formula2>1000</formula2>
    </dataValidation>
    <dataValidation allowBlank="true" operator="equal" showDropDown="false" showErrorMessage="true" showInputMessage="false" sqref="H2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2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J20" type="list">
      <formula1>"K,L3,L2,L1"</formula1>
      <formula2>0</formula2>
    </dataValidation>
    <dataValidation allowBlank="true" operator="equal" showDropDown="false" showErrorMessage="true" showInputMessage="false" sqref="K20" type="list">
      <formula1>"unfocused,focused"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E10" activeCellId="1" sqref="N25 E10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4" min="12" style="0" width="29.63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378</v>
      </c>
      <c r="J6" s="35" t="s">
        <v>50</v>
      </c>
      <c r="K6" s="36" t="s">
        <v>51</v>
      </c>
      <c r="L6" s="37" t="s">
        <v>52</v>
      </c>
      <c r="M6" s="38" t="s">
        <v>78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24.85" hidden="false" customHeight="false" outlineLevel="0" collapsed="false">
      <c r="B7" s="69" t="n">
        <v>1</v>
      </c>
      <c r="C7" s="78" t="s">
        <v>45</v>
      </c>
      <c r="D7" s="79" t="s">
        <v>3</v>
      </c>
      <c r="E7" s="71" t="s">
        <v>379</v>
      </c>
      <c r="F7" s="66"/>
      <c r="G7" s="66"/>
      <c r="H7" s="66"/>
      <c r="I7" s="67"/>
      <c r="J7" s="68"/>
      <c r="K7" s="69"/>
      <c r="L7" s="71" t="s">
        <v>379</v>
      </c>
      <c r="M7" s="71"/>
      <c r="N7" s="73" t="s">
        <v>380</v>
      </c>
      <c r="O7" s="56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24.85" hidden="false" customHeight="false" outlineLevel="0" collapsed="false">
      <c r="B8" s="69" t="n">
        <v>2</v>
      </c>
      <c r="C8" s="78" t="s">
        <v>45</v>
      </c>
      <c r="D8" s="79" t="s">
        <v>3</v>
      </c>
      <c r="E8" s="71" t="s">
        <v>381</v>
      </c>
      <c r="F8" s="66"/>
      <c r="G8" s="66"/>
      <c r="H8" s="66"/>
      <c r="I8" s="67"/>
      <c r="J8" s="68"/>
      <c r="K8" s="69"/>
      <c r="L8" s="71" t="s">
        <v>381</v>
      </c>
      <c r="M8" s="71"/>
      <c r="N8" s="73" t="s">
        <v>380</v>
      </c>
      <c r="O8" s="56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24.85" hidden="false" customHeight="false" outlineLevel="0" collapsed="false">
      <c r="B9" s="69" t="n">
        <v>3</v>
      </c>
      <c r="C9" s="78" t="s">
        <v>45</v>
      </c>
      <c r="D9" s="79" t="s">
        <v>62</v>
      </c>
      <c r="E9" s="65" t="s">
        <v>382</v>
      </c>
      <c r="F9" s="66"/>
      <c r="G9" s="66"/>
      <c r="H9" s="66"/>
      <c r="I9" s="67"/>
      <c r="J9" s="68"/>
      <c r="K9" s="69"/>
      <c r="L9" s="65" t="s">
        <v>382</v>
      </c>
      <c r="M9" s="71"/>
      <c r="N9" s="73" t="s">
        <v>380</v>
      </c>
      <c r="O9" s="56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24.85" hidden="false" customHeight="false" outlineLevel="0" collapsed="false">
      <c r="B10" s="69" t="n">
        <v>4</v>
      </c>
      <c r="C10" s="78" t="s">
        <v>45</v>
      </c>
      <c r="D10" s="79" t="s">
        <v>3</v>
      </c>
      <c r="E10" s="65" t="s">
        <v>383</v>
      </c>
      <c r="F10" s="66"/>
      <c r="G10" s="66"/>
      <c r="H10" s="66"/>
      <c r="I10" s="67"/>
      <c r="J10" s="68"/>
      <c r="K10" s="69"/>
      <c r="L10" s="65" t="s">
        <v>383</v>
      </c>
      <c r="M10" s="71"/>
      <c r="N10" s="73" t="s">
        <v>380</v>
      </c>
      <c r="O10" s="56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12.8" hidden="false" customHeight="false" outlineLevel="0" collapsed="false">
      <c r="B11" s="69" t="n">
        <v>5</v>
      </c>
      <c r="C11" s="78" t="s">
        <v>45</v>
      </c>
      <c r="D11" s="79" t="s">
        <v>3</v>
      </c>
      <c r="E11" s="81"/>
      <c r="F11" s="81"/>
      <c r="G11" s="81"/>
      <c r="H11" s="81"/>
      <c r="I11" s="81"/>
      <c r="J11" s="81"/>
      <c r="K11" s="81"/>
      <c r="L11" s="81"/>
      <c r="M11" s="71"/>
      <c r="N11" s="81"/>
      <c r="O11" s="56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12.8" hidden="false" customHeight="false" outlineLevel="0" collapsed="false">
      <c r="B12" s="69" t="n">
        <v>6</v>
      </c>
      <c r="C12" s="78" t="s">
        <v>45</v>
      </c>
      <c r="D12" s="79" t="s">
        <v>3</v>
      </c>
      <c r="E12" s="65"/>
      <c r="F12" s="66"/>
      <c r="G12" s="66"/>
      <c r="H12" s="66"/>
      <c r="I12" s="67"/>
      <c r="J12" s="68"/>
      <c r="K12" s="69"/>
      <c r="L12" s="70"/>
      <c r="M12" s="71"/>
      <c r="N12" s="72"/>
      <c r="O12" s="56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13.25" hidden="false" customHeight="false" outlineLevel="0" collapsed="false">
      <c r="B13" s="50" t="n">
        <v>7</v>
      </c>
      <c r="C13" s="51" t="s">
        <v>45</v>
      </c>
      <c r="D13" s="52" t="s">
        <v>62</v>
      </c>
      <c r="E13" s="29"/>
      <c r="F13" s="13"/>
      <c r="G13" s="13"/>
      <c r="H13" s="13"/>
      <c r="I13" s="77"/>
      <c r="J13" s="55"/>
      <c r="K13" s="50"/>
      <c r="L13" s="56"/>
      <c r="M13" s="53"/>
      <c r="N13" s="57"/>
      <c r="O13" s="56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13.25" hidden="false" customHeight="false" outlineLevel="0" collapsed="false">
      <c r="B14" s="50" t="n">
        <v>8</v>
      </c>
      <c r="C14" s="51" t="s">
        <v>45</v>
      </c>
      <c r="D14" s="52" t="s">
        <v>62</v>
      </c>
      <c r="E14" s="29"/>
      <c r="F14" s="13"/>
      <c r="G14" s="13"/>
      <c r="H14" s="13"/>
      <c r="I14" s="77"/>
      <c r="J14" s="55"/>
      <c r="K14" s="50"/>
      <c r="L14" s="56"/>
      <c r="M14" s="53"/>
      <c r="N14" s="57"/>
      <c r="O14" s="56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13.25" hidden="false" customHeight="false" outlineLevel="0" collapsed="false">
      <c r="B15" s="50" t="n">
        <v>9</v>
      </c>
      <c r="C15" s="51" t="s">
        <v>45</v>
      </c>
      <c r="D15" s="52" t="s">
        <v>62</v>
      </c>
      <c r="E15" s="29"/>
      <c r="F15" s="13"/>
      <c r="G15" s="13"/>
      <c r="H15" s="13"/>
      <c r="I15" s="77"/>
      <c r="J15" s="55"/>
      <c r="K15" s="50"/>
      <c r="L15" s="56"/>
      <c r="M15" s="53"/>
      <c r="N15" s="57"/>
      <c r="O15" s="56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13.25" hidden="false" customHeight="false" outlineLevel="0" collapsed="false">
      <c r="B16" s="50" t="n">
        <v>10</v>
      </c>
      <c r="C16" s="51" t="s">
        <v>45</v>
      </c>
      <c r="D16" s="52" t="s">
        <v>62</v>
      </c>
      <c r="E16" s="29"/>
      <c r="F16" s="13"/>
      <c r="G16" s="13"/>
      <c r="H16" s="13"/>
      <c r="I16" s="77"/>
      <c r="J16" s="55"/>
      <c r="K16" s="50"/>
      <c r="L16" s="56"/>
      <c r="M16" s="53"/>
      <c r="N16" s="57"/>
      <c r="O16" s="56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13.25" hidden="false" customHeight="false" outlineLevel="0" collapsed="false">
      <c r="B17" s="50" t="n">
        <v>23</v>
      </c>
      <c r="C17" s="51" t="s">
        <v>45</v>
      </c>
      <c r="D17" s="52" t="s">
        <v>62</v>
      </c>
      <c r="E17" s="29"/>
      <c r="F17" s="13"/>
      <c r="G17" s="13"/>
      <c r="H17" s="13"/>
      <c r="I17" s="77"/>
      <c r="J17" s="55"/>
      <c r="K17" s="50"/>
      <c r="L17" s="56"/>
      <c r="M17" s="29"/>
      <c r="N17" s="57"/>
      <c r="O17" s="56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13.25" hidden="false" customHeight="false" outlineLevel="0" collapsed="false">
      <c r="B18" s="50" t="n">
        <v>24</v>
      </c>
      <c r="C18" s="51" t="s">
        <v>45</v>
      </c>
      <c r="D18" s="52" t="s">
        <v>62</v>
      </c>
      <c r="E18" s="29"/>
      <c r="F18" s="13"/>
      <c r="G18" s="13"/>
      <c r="H18" s="13"/>
      <c r="I18" s="77"/>
      <c r="J18" s="55"/>
      <c r="K18" s="50"/>
      <c r="L18" s="56"/>
      <c r="M18" s="29"/>
      <c r="N18" s="57"/>
      <c r="O18" s="56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12.8" hidden="false" customHeight="false" outlineLevel="0" collapsed="false">
      <c r="B19" s="50" t="n">
        <v>1</v>
      </c>
      <c r="C19" s="51" t="s">
        <v>86</v>
      </c>
      <c r="D19" s="52" t="s">
        <v>62</v>
      </c>
      <c r="E19" s="53"/>
      <c r="F19" s="13"/>
      <c r="G19" s="13"/>
      <c r="H19" s="13"/>
      <c r="I19" s="77"/>
      <c r="J19" s="55"/>
      <c r="K19" s="50"/>
      <c r="L19" s="53"/>
      <c r="M19" s="53"/>
      <c r="N19" s="73"/>
      <c r="O19" s="56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12.8" hidden="false" customHeight="false" outlineLevel="0" collapsed="false">
      <c r="B20" s="50" t="n">
        <v>2</v>
      </c>
      <c r="C20" s="51" t="s">
        <v>86</v>
      </c>
      <c r="D20" s="52" t="s">
        <v>62</v>
      </c>
      <c r="E20" s="53"/>
      <c r="F20" s="13"/>
      <c r="G20" s="13"/>
      <c r="H20" s="13"/>
      <c r="I20" s="77"/>
      <c r="J20" s="55"/>
      <c r="K20" s="50"/>
      <c r="L20" s="53"/>
      <c r="M20" s="53"/>
      <c r="N20" s="73"/>
      <c r="O20" s="56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12.8" hidden="false" customHeight="false" outlineLevel="0" collapsed="false">
      <c r="B21" s="50" t="n">
        <v>3</v>
      </c>
      <c r="C21" s="51" t="s">
        <v>86</v>
      </c>
      <c r="D21" s="52" t="s">
        <v>62</v>
      </c>
      <c r="E21" s="29"/>
      <c r="F21" s="13"/>
      <c r="G21" s="13"/>
      <c r="H21" s="13"/>
      <c r="I21" s="77"/>
      <c r="J21" s="55"/>
      <c r="K21" s="50"/>
      <c r="L21" s="29"/>
      <c r="M21" s="53"/>
      <c r="N21" s="73"/>
      <c r="O21" s="56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12.8" hidden="false" customHeight="false" outlineLevel="0" collapsed="false">
      <c r="B22" s="50" t="n">
        <v>4</v>
      </c>
      <c r="C22" s="51" t="s">
        <v>86</v>
      </c>
      <c r="D22" s="52" t="s">
        <v>62</v>
      </c>
      <c r="E22" s="29"/>
      <c r="F22" s="13"/>
      <c r="G22" s="13"/>
      <c r="H22" s="13"/>
      <c r="I22" s="77"/>
      <c r="J22" s="55"/>
      <c r="K22" s="50"/>
      <c r="L22" s="29"/>
      <c r="M22" s="53"/>
      <c r="N22" s="73"/>
      <c r="O22" s="56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13.25" hidden="false" customHeight="false" outlineLevel="0" collapsed="false">
      <c r="B23" s="50" t="n">
        <v>5</v>
      </c>
      <c r="C23" s="51" t="s">
        <v>86</v>
      </c>
      <c r="D23" s="52" t="s">
        <v>3</v>
      </c>
      <c r="E23" s="29"/>
      <c r="F23" s="13"/>
      <c r="G23" s="13"/>
      <c r="H23" s="13"/>
      <c r="I23" s="54"/>
      <c r="J23" s="55"/>
      <c r="K23" s="50"/>
      <c r="L23" s="64"/>
      <c r="M23" s="53"/>
      <c r="N23" s="57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13.25" hidden="false" customHeight="false" outlineLevel="0" collapsed="false">
      <c r="B24" s="50" t="n">
        <v>6</v>
      </c>
      <c r="C24" s="51" t="s">
        <v>86</v>
      </c>
      <c r="D24" s="52" t="s">
        <v>3</v>
      </c>
      <c r="E24" s="29"/>
      <c r="F24" s="13"/>
      <c r="G24" s="13"/>
      <c r="H24" s="13"/>
      <c r="I24" s="54"/>
      <c r="J24" s="55"/>
      <c r="K24" s="50"/>
      <c r="L24" s="64"/>
      <c r="M24" s="53"/>
      <c r="N24" s="57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13.25" hidden="false" customHeight="false" outlineLevel="0" collapsed="false">
      <c r="B25" s="50" t="n">
        <v>7</v>
      </c>
      <c r="C25" s="51" t="s">
        <v>86</v>
      </c>
      <c r="D25" s="52" t="s">
        <v>3</v>
      </c>
      <c r="E25" s="29"/>
      <c r="F25" s="13"/>
      <c r="G25" s="13"/>
      <c r="H25" s="13"/>
      <c r="I25" s="54"/>
      <c r="J25" s="55"/>
      <c r="K25" s="50"/>
      <c r="L25" s="64"/>
      <c r="M25" s="53"/>
      <c r="N25" s="57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13.25" hidden="false" customHeight="false" outlineLevel="0" collapsed="false">
      <c r="B26" s="50" t="n">
        <v>8</v>
      </c>
      <c r="C26" s="51" t="s">
        <v>86</v>
      </c>
      <c r="D26" s="52" t="s">
        <v>3</v>
      </c>
      <c r="E26" s="29"/>
      <c r="F26" s="13"/>
      <c r="G26" s="13"/>
      <c r="H26" s="13"/>
      <c r="I26" s="54"/>
      <c r="J26" s="55"/>
      <c r="K26" s="50"/>
      <c r="L26" s="64"/>
      <c r="M26" s="53"/>
      <c r="N26" s="57"/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13.25" hidden="false" customHeight="false" outlineLevel="0" collapsed="false">
      <c r="B27" s="50" t="n">
        <v>9</v>
      </c>
      <c r="C27" s="51" t="s">
        <v>86</v>
      </c>
      <c r="D27" s="52" t="s">
        <v>3</v>
      </c>
      <c r="E27" s="29"/>
      <c r="F27" s="13"/>
      <c r="G27" s="13"/>
      <c r="H27" s="13"/>
      <c r="I27" s="54"/>
      <c r="J27" s="55"/>
      <c r="K27" s="50"/>
      <c r="L27" s="64"/>
      <c r="M27" s="53"/>
      <c r="N27" s="57"/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13.25" hidden="false" customHeight="false" outlineLevel="0" collapsed="false">
      <c r="B28" s="50" t="n">
        <v>10</v>
      </c>
      <c r="C28" s="51" t="s">
        <v>86</v>
      </c>
      <c r="D28" s="52" t="s">
        <v>3</v>
      </c>
      <c r="E28" s="29"/>
      <c r="F28" s="13"/>
      <c r="G28" s="13"/>
      <c r="H28" s="13"/>
      <c r="I28" s="54"/>
      <c r="J28" s="55"/>
      <c r="K28" s="50"/>
      <c r="L28" s="64"/>
      <c r="M28" s="53"/>
      <c r="N28" s="57"/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13.25" hidden="false" customHeight="false" outlineLevel="0" collapsed="false">
      <c r="B29" s="50" t="n">
        <v>23</v>
      </c>
      <c r="C29" s="51" t="s">
        <v>86</v>
      </c>
      <c r="D29" s="52" t="s">
        <v>3</v>
      </c>
      <c r="E29" s="29"/>
      <c r="F29" s="13"/>
      <c r="G29" s="13"/>
      <c r="H29" s="13"/>
      <c r="I29" s="54"/>
      <c r="J29" s="55"/>
      <c r="K29" s="50"/>
      <c r="L29" s="64"/>
      <c r="M29" s="29"/>
      <c r="N29" s="57"/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13.25" hidden="false" customHeight="false" outlineLevel="0" collapsed="false">
      <c r="B30" s="50" t="n">
        <v>24</v>
      </c>
      <c r="C30" s="51" t="s">
        <v>86</v>
      </c>
      <c r="D30" s="52" t="s">
        <v>3</v>
      </c>
      <c r="E30" s="29"/>
      <c r="F30" s="13"/>
      <c r="G30" s="13"/>
      <c r="H30" s="13"/>
      <c r="I30" s="54"/>
      <c r="J30" s="55"/>
      <c r="K30" s="50"/>
      <c r="L30" s="64"/>
      <c r="M30" s="29"/>
      <c r="N30" s="57"/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9">
    <dataValidation allowBlank="true" operator="equal" showDropDown="false" showErrorMessage="true" showInputMessage="false" sqref="W6:AB30" type="list">
      <formula1>"True,False"</formula1>
      <formula2>0</formula2>
    </dataValidation>
    <dataValidation allowBlank="true" operator="equal" showDropDown="false" showErrorMessage="true" showInputMessage="false" sqref="J6 J23:J30" type="list">
      <formula1>"K,L3,L2,L1"</formula1>
      <formula2>0</formula2>
    </dataValidation>
    <dataValidation allowBlank="true" operator="equal" showDropDown="false" showErrorMessage="true" showInputMessage="false" sqref="K6 K23:K30" type="list">
      <formula1>"unfocused,focused"</formula1>
      <formula2>0</formula2>
    </dataValidation>
    <dataValidation allowBlank="true" operator="between" showDropDown="false" showErrorMessage="true" showInputMessage="false" sqref="F6 F23:F30" type="whole">
      <formula1>0</formula1>
      <formula2>1000</formula2>
    </dataValidation>
    <dataValidation allowBlank="true" operator="between" showDropDown="false" showErrorMessage="true" showInputMessage="false" sqref="B7:B22" type="whole">
      <formula1>1</formula1>
      <formula2>24</formula2>
    </dataValidation>
    <dataValidation allowBlank="true" operator="equal" showDropDown="false" showErrorMessage="true" showInputMessage="false" sqref="K2 D6 D23:D30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 C23:C30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R6:V6 S7:V30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22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10 I12:I22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12" type="list">
      <formula1>"Yes,No"</formula1>
      <formula2>0</formula2>
    </dataValidation>
    <dataValidation allowBlank="true" operator="between" showDropDown="false" showErrorMessage="true" showInputMessage="false" sqref="F7:F10 F12" type="whole">
      <formula1>0</formula1>
      <formula2>1000</formula2>
    </dataValidation>
    <dataValidation allowBlank="true" operator="equal" showDropDown="false" showErrorMessage="true" showInputMessage="false" sqref="J7:J10 J12" type="list">
      <formula1>"K,L3,L2,L1"</formula1>
      <formula2>0</formula2>
    </dataValidation>
    <dataValidation allowBlank="true" operator="equal" showDropDown="false" showErrorMessage="true" showInputMessage="false" sqref="K7:K10 K12" type="list">
      <formula1>"unfocused,focused"</formula1>
      <formula2>0</formula2>
    </dataValidation>
    <dataValidation allowBlank="true" operator="equal" showDropDown="false" showErrorMessage="true" showInputMessage="false" sqref="C7:C12" type="list">
      <formula1>"Outer,Inner,"</formula1>
      <formula2>0</formula2>
    </dataValidation>
    <dataValidation allowBlank="true" operator="between" showDropDown="false" showErrorMessage="true" showInputMessage="false" sqref="S31:V48" type="none">
      <formula1>-150</formula1>
      <formula2>150</formula2>
    </dataValidation>
    <dataValidation allowBlank="true" operator="between" showDropDown="false" showErrorMessage="true" showInputMessage="false" sqref="B23:B30" type="whole">
      <formula1>1</formula1>
      <formula2>24</formula2>
    </dataValidation>
    <dataValidation allowBlank="true" operator="equal" showDropDown="false" showErrorMessage="true" showInputMessage="false" sqref="H23:H30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23:I30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13:C22" type="list">
      <formula1>"Outer,Inner,"</formula1>
      <formula2>0</formula2>
    </dataValidation>
    <dataValidation allowBlank="true" operator="equal" showDropDown="false" showErrorMessage="true" showInputMessage="false" sqref="D13:D22" type="list">
      <formula1>"Yes,No"</formula1>
      <formula2>0</formula2>
    </dataValidation>
    <dataValidation allowBlank="true" operator="between" showDropDown="false" showErrorMessage="true" showInputMessage="false" sqref="F13:F22" type="whole">
      <formula1>0</formula1>
      <formula2>1000</formula2>
    </dataValidation>
    <dataValidation allowBlank="true" operator="equal" showDropDown="false" showErrorMessage="true" showInputMessage="false" sqref="J13:J22" type="list">
      <formula1>"K,L3,L2,L1"</formula1>
      <formula2>0</formula2>
    </dataValidation>
    <dataValidation allowBlank="true" operator="equal" showDropDown="false" showErrorMessage="true" showInputMessage="false" sqref="K13:K22" type="list">
      <formula1>"unfocused,focused"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N26" activeCellId="1" sqref="N25 N26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384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177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20.45" hidden="false" customHeight="true" outlineLevel="0" collapsed="false">
      <c r="B7" s="69" t="n">
        <v>1</v>
      </c>
      <c r="C7" s="78" t="s">
        <v>45</v>
      </c>
      <c r="D7" s="79" t="s">
        <v>3</v>
      </c>
      <c r="E7" s="71"/>
      <c r="F7" s="66"/>
      <c r="G7" s="66"/>
      <c r="H7" s="66"/>
      <c r="I7" s="67"/>
      <c r="J7" s="68"/>
      <c r="K7" s="69"/>
      <c r="L7" s="70"/>
      <c r="M7" s="71"/>
      <c r="N7" s="72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32.05" hidden="false" customHeight="true" outlineLevel="0" collapsed="false">
      <c r="B8" s="69" t="n">
        <v>2</v>
      </c>
      <c r="C8" s="78" t="s">
        <v>45</v>
      </c>
      <c r="D8" s="79" t="s">
        <v>3</v>
      </c>
      <c r="E8" s="71" t="s">
        <v>385</v>
      </c>
      <c r="F8" s="66"/>
      <c r="G8" s="66"/>
      <c r="H8" s="66"/>
      <c r="I8" s="67" t="s">
        <v>384</v>
      </c>
      <c r="J8" s="68"/>
      <c r="K8" s="69"/>
      <c r="L8" s="70" t="s">
        <v>386</v>
      </c>
      <c r="M8" s="71"/>
      <c r="N8" s="73" t="s">
        <v>167</v>
      </c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32.05" hidden="false" customHeight="true" outlineLevel="0" collapsed="false">
      <c r="B9" s="69" t="n">
        <v>3</v>
      </c>
      <c r="C9" s="78" t="s">
        <v>45</v>
      </c>
      <c r="D9" s="79" t="s">
        <v>3</v>
      </c>
      <c r="E9" s="65" t="s">
        <v>387</v>
      </c>
      <c r="F9" s="66"/>
      <c r="G9" s="66"/>
      <c r="H9" s="66"/>
      <c r="I9" s="67" t="s">
        <v>384</v>
      </c>
      <c r="J9" s="68"/>
      <c r="K9" s="69"/>
      <c r="L9" s="70" t="s">
        <v>388</v>
      </c>
      <c r="M9" s="71"/>
      <c r="N9" s="73" t="s">
        <v>167</v>
      </c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32.05" hidden="false" customHeight="true" outlineLevel="0" collapsed="false">
      <c r="B10" s="69" t="n">
        <v>4</v>
      </c>
      <c r="C10" s="78" t="s">
        <v>45</v>
      </c>
      <c r="D10" s="79" t="s">
        <v>3</v>
      </c>
      <c r="E10" s="65" t="s">
        <v>389</v>
      </c>
      <c r="F10" s="66"/>
      <c r="G10" s="66"/>
      <c r="H10" s="66"/>
      <c r="I10" s="67" t="s">
        <v>384</v>
      </c>
      <c r="J10" s="68"/>
      <c r="K10" s="69"/>
      <c r="L10" s="70" t="s">
        <v>390</v>
      </c>
      <c r="M10" s="71"/>
      <c r="N10" s="73" t="s">
        <v>167</v>
      </c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20.45" hidden="false" customHeight="true" outlineLevel="0" collapsed="false">
      <c r="B11" s="69" t="n">
        <v>5</v>
      </c>
      <c r="C11" s="78" t="s">
        <v>45</v>
      </c>
      <c r="D11" s="79" t="s">
        <v>3</v>
      </c>
      <c r="E11" s="0" t="s">
        <v>391</v>
      </c>
      <c r="I11" s="67" t="s">
        <v>384</v>
      </c>
      <c r="L11" s="70" t="s">
        <v>392</v>
      </c>
      <c r="M11" s="71" t="s">
        <v>393</v>
      </c>
      <c r="N11" s="73" t="s">
        <v>394</v>
      </c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20.45" hidden="false" customHeight="true" outlineLevel="0" collapsed="false">
      <c r="B12" s="69" t="n">
        <v>6</v>
      </c>
      <c r="C12" s="78" t="s">
        <v>45</v>
      </c>
      <c r="D12" s="79" t="s">
        <v>3</v>
      </c>
      <c r="E12" s="65"/>
      <c r="F12" s="66"/>
      <c r="G12" s="66"/>
      <c r="H12" s="66"/>
      <c r="I12" s="67"/>
      <c r="J12" s="68"/>
      <c r="K12" s="69"/>
      <c r="L12" s="70"/>
      <c r="M12" s="71"/>
      <c r="N12" s="72"/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20.45" hidden="false" customHeight="true" outlineLevel="0" collapsed="false">
      <c r="B13" s="69" t="n">
        <v>7</v>
      </c>
      <c r="C13" s="78" t="s">
        <v>45</v>
      </c>
      <c r="D13" s="79" t="s">
        <v>3</v>
      </c>
      <c r="E13" s="65"/>
      <c r="F13" s="66"/>
      <c r="G13" s="66"/>
      <c r="H13" s="66"/>
      <c r="I13" s="67"/>
      <c r="J13" s="68"/>
      <c r="K13" s="69"/>
      <c r="L13" s="70"/>
      <c r="M13" s="71"/>
      <c r="N13" s="72"/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20.45" hidden="false" customHeight="true" outlineLevel="0" collapsed="false">
      <c r="B14" s="69" t="n">
        <v>8</v>
      </c>
      <c r="C14" s="78" t="s">
        <v>45</v>
      </c>
      <c r="D14" s="79" t="s">
        <v>3</v>
      </c>
      <c r="E14" s="65"/>
      <c r="F14" s="66"/>
      <c r="G14" s="66"/>
      <c r="H14" s="66"/>
      <c r="I14" s="67"/>
      <c r="J14" s="68"/>
      <c r="K14" s="69"/>
      <c r="L14" s="70"/>
      <c r="M14" s="71"/>
      <c r="N14" s="72"/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20.45" hidden="false" customHeight="true" outlineLevel="0" collapsed="false">
      <c r="B15" s="69" t="n">
        <v>9</v>
      </c>
      <c r="C15" s="78" t="s">
        <v>45</v>
      </c>
      <c r="D15" s="79" t="s">
        <v>3</v>
      </c>
      <c r="E15" s="84"/>
      <c r="F15" s="66"/>
      <c r="G15" s="66"/>
      <c r="H15" s="66"/>
      <c r="I15" s="67"/>
      <c r="J15" s="68"/>
      <c r="K15" s="69"/>
      <c r="L15" s="70"/>
      <c r="M15" s="71"/>
      <c r="N15" s="72"/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20.45" hidden="false" customHeight="true" outlineLevel="0" collapsed="false">
      <c r="B16" s="69" t="n">
        <v>10</v>
      </c>
      <c r="C16" s="78" t="s">
        <v>45</v>
      </c>
      <c r="D16" s="79" t="s">
        <v>3</v>
      </c>
      <c r="E16" s="65"/>
      <c r="F16" s="66"/>
      <c r="G16" s="66"/>
      <c r="H16" s="66"/>
      <c r="I16" s="67"/>
      <c r="J16" s="68"/>
      <c r="K16" s="69"/>
      <c r="L16" s="70"/>
      <c r="M16" s="71"/>
      <c r="N16" s="85"/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20.45" hidden="false" customHeight="true" outlineLevel="0" collapsed="false">
      <c r="B17" s="69" t="n">
        <v>11</v>
      </c>
      <c r="C17" s="78" t="s">
        <v>45</v>
      </c>
      <c r="D17" s="79" t="s">
        <v>3</v>
      </c>
      <c r="E17" s="65"/>
      <c r="F17" s="66"/>
      <c r="G17" s="66"/>
      <c r="H17" s="66"/>
      <c r="I17" s="67"/>
      <c r="J17" s="68"/>
      <c r="K17" s="69"/>
      <c r="L17" s="70"/>
      <c r="M17" s="71"/>
      <c r="N17" s="72"/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20.45" hidden="false" customHeight="true" outlineLevel="0" collapsed="false">
      <c r="B18" s="69" t="n">
        <v>12</v>
      </c>
      <c r="C18" s="78" t="s">
        <v>45</v>
      </c>
      <c r="D18" s="79" t="s">
        <v>3</v>
      </c>
      <c r="E18" s="65"/>
      <c r="F18" s="66"/>
      <c r="G18" s="66"/>
      <c r="H18" s="66"/>
      <c r="I18" s="67"/>
      <c r="J18" s="68"/>
      <c r="K18" s="69"/>
      <c r="L18" s="70"/>
      <c r="M18" s="71"/>
      <c r="N18" s="72"/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20.45" hidden="false" customHeight="true" outlineLevel="0" collapsed="false">
      <c r="B19" s="69" t="n">
        <v>13</v>
      </c>
      <c r="C19" s="78" t="s">
        <v>45</v>
      </c>
      <c r="D19" s="79" t="s">
        <v>3</v>
      </c>
      <c r="E19" s="65"/>
      <c r="F19" s="66"/>
      <c r="G19" s="66"/>
      <c r="H19" s="66"/>
      <c r="I19" s="67"/>
      <c r="J19" s="68"/>
      <c r="K19" s="69"/>
      <c r="L19" s="70"/>
      <c r="M19" s="71"/>
      <c r="N19" s="72"/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0.45" hidden="false" customHeight="true" outlineLevel="0" collapsed="false">
      <c r="B20" s="69" t="n">
        <v>14</v>
      </c>
      <c r="C20" s="78" t="s">
        <v>45</v>
      </c>
      <c r="D20" s="79" t="s">
        <v>3</v>
      </c>
      <c r="I20" s="67"/>
      <c r="N20" s="73"/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20.45" hidden="false" customHeight="true" outlineLevel="0" collapsed="false">
      <c r="B21" s="69" t="n">
        <v>15</v>
      </c>
      <c r="C21" s="78" t="s">
        <v>45</v>
      </c>
      <c r="D21" s="79" t="s">
        <v>3</v>
      </c>
      <c r="I21" s="67"/>
      <c r="L21" s="86"/>
      <c r="N21" s="73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20.45" hidden="false" customHeight="true" outlineLevel="0" collapsed="false">
      <c r="B22" s="69" t="n">
        <v>16</v>
      </c>
      <c r="C22" s="78" t="s">
        <v>45</v>
      </c>
      <c r="D22" s="79" t="s">
        <v>3</v>
      </c>
      <c r="I22" s="67"/>
      <c r="L22" s="86"/>
      <c r="N22" s="73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20.45" hidden="false" customHeight="true" outlineLevel="0" collapsed="false">
      <c r="B23" s="69" t="n">
        <v>17</v>
      </c>
      <c r="C23" s="78" t="s">
        <v>45</v>
      </c>
      <c r="D23" s="79" t="s">
        <v>3</v>
      </c>
      <c r="I23" s="67"/>
      <c r="N23" s="73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20.45" hidden="false" customHeight="true" outlineLevel="0" collapsed="false">
      <c r="B24" s="69" t="n">
        <v>18</v>
      </c>
      <c r="C24" s="78" t="s">
        <v>45</v>
      </c>
      <c r="D24" s="79" t="s">
        <v>3</v>
      </c>
      <c r="E24" s="65"/>
      <c r="F24" s="66"/>
      <c r="G24" s="66"/>
      <c r="H24" s="66"/>
      <c r="I24" s="67"/>
      <c r="J24" s="68"/>
      <c r="K24" s="69"/>
      <c r="L24" s="70"/>
      <c r="M24" s="71"/>
      <c r="N24" s="73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20.45" hidden="false" customHeight="true" outlineLevel="0" collapsed="false">
      <c r="B25" s="69" t="n">
        <v>19</v>
      </c>
      <c r="C25" s="78" t="s">
        <v>45</v>
      </c>
      <c r="D25" s="79" t="s">
        <v>3</v>
      </c>
      <c r="E25" s="65"/>
      <c r="F25" s="66"/>
      <c r="G25" s="66"/>
      <c r="H25" s="66"/>
      <c r="I25" s="67"/>
      <c r="J25" s="68"/>
      <c r="K25" s="69"/>
      <c r="L25" s="86"/>
      <c r="M25" s="71"/>
      <c r="N25" s="73"/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24.85" hidden="false" customHeight="false" outlineLevel="0" collapsed="false">
      <c r="B26" s="69" t="n">
        <v>20</v>
      </c>
      <c r="C26" s="78" t="s">
        <v>45</v>
      </c>
      <c r="D26" s="79" t="s">
        <v>3</v>
      </c>
      <c r="E26" s="65" t="s">
        <v>395</v>
      </c>
      <c r="F26" s="66"/>
      <c r="G26" s="66"/>
      <c r="H26" s="66"/>
      <c r="I26" s="67" t="s">
        <v>396</v>
      </c>
      <c r="J26" s="68"/>
      <c r="K26" s="69"/>
      <c r="L26" s="65" t="s">
        <v>397</v>
      </c>
      <c r="M26" s="71" t="s">
        <v>78</v>
      </c>
      <c r="N26" s="73" t="s">
        <v>380</v>
      </c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32.05" hidden="false" customHeight="true" outlineLevel="0" collapsed="false">
      <c r="B27" s="69" t="n">
        <v>21</v>
      </c>
      <c r="C27" s="78" t="s">
        <v>45</v>
      </c>
      <c r="D27" s="79" t="s">
        <v>3</v>
      </c>
      <c r="E27" s="65" t="s">
        <v>398</v>
      </c>
      <c r="F27" s="66"/>
      <c r="G27" s="66"/>
      <c r="H27" s="66"/>
      <c r="I27" s="67" t="s">
        <v>396</v>
      </c>
      <c r="J27" s="68"/>
      <c r="K27" s="69"/>
      <c r="L27" s="70" t="s">
        <v>399</v>
      </c>
      <c r="M27" s="71"/>
      <c r="N27" s="73" t="s">
        <v>167</v>
      </c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32.05" hidden="false" customHeight="true" outlineLevel="0" collapsed="false">
      <c r="B28" s="69" t="n">
        <v>22</v>
      </c>
      <c r="C28" s="78" t="s">
        <v>45</v>
      </c>
      <c r="D28" s="79" t="s">
        <v>3</v>
      </c>
      <c r="E28" s="65" t="s">
        <v>400</v>
      </c>
      <c r="F28" s="66"/>
      <c r="G28" s="66"/>
      <c r="H28" s="66"/>
      <c r="I28" s="67" t="s">
        <v>396</v>
      </c>
      <c r="J28" s="68"/>
      <c r="K28" s="69"/>
      <c r="L28" s="70" t="s">
        <v>401</v>
      </c>
      <c r="M28" s="71"/>
      <c r="N28" s="73" t="s">
        <v>167</v>
      </c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32.05" hidden="false" customHeight="true" outlineLevel="0" collapsed="false">
      <c r="B29" s="69" t="n">
        <v>23</v>
      </c>
      <c r="C29" s="78" t="s">
        <v>45</v>
      </c>
      <c r="D29" s="79" t="s">
        <v>3</v>
      </c>
      <c r="E29" s="65" t="s">
        <v>402</v>
      </c>
      <c r="F29" s="66"/>
      <c r="G29" s="66"/>
      <c r="H29" s="66"/>
      <c r="I29" s="67" t="s">
        <v>396</v>
      </c>
      <c r="J29" s="68"/>
      <c r="K29" s="69"/>
      <c r="L29" s="70" t="s">
        <v>403</v>
      </c>
      <c r="M29" s="65"/>
      <c r="N29" s="73" t="s">
        <v>167</v>
      </c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32.05" hidden="false" customHeight="true" outlineLevel="0" collapsed="false">
      <c r="B30" s="69" t="n">
        <v>24</v>
      </c>
      <c r="C30" s="78" t="s">
        <v>45</v>
      </c>
      <c r="D30" s="79" t="s">
        <v>3</v>
      </c>
      <c r="E30" s="65" t="s">
        <v>404</v>
      </c>
      <c r="F30" s="66"/>
      <c r="G30" s="66"/>
      <c r="H30" s="66"/>
      <c r="I30" s="67" t="s">
        <v>396</v>
      </c>
      <c r="J30" s="68"/>
      <c r="K30" s="69"/>
      <c r="L30" s="70" t="s">
        <v>405</v>
      </c>
      <c r="M30" s="65"/>
      <c r="N30" s="73" t="s">
        <v>167</v>
      </c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20.45" hidden="false" customHeight="true" outlineLevel="0" collapsed="false">
      <c r="B31" s="69" t="n">
        <v>1</v>
      </c>
      <c r="C31" s="78" t="s">
        <v>86</v>
      </c>
      <c r="D31" s="79" t="s">
        <v>3</v>
      </c>
      <c r="E31" s="71"/>
      <c r="F31" s="66"/>
      <c r="G31" s="66"/>
      <c r="H31" s="66"/>
      <c r="I31" s="67"/>
      <c r="J31" s="68"/>
      <c r="K31" s="69"/>
      <c r="L31" s="70"/>
      <c r="M31" s="71"/>
      <c r="N31" s="72"/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20.45" hidden="false" customHeight="true" outlineLevel="0" collapsed="false">
      <c r="B32" s="69" t="n">
        <v>2</v>
      </c>
      <c r="C32" s="78" t="s">
        <v>86</v>
      </c>
      <c r="D32" s="79" t="s">
        <v>3</v>
      </c>
      <c r="E32" s="71"/>
      <c r="F32" s="66"/>
      <c r="G32" s="66"/>
      <c r="H32" s="66"/>
      <c r="I32" s="67"/>
      <c r="J32" s="68"/>
      <c r="K32" s="69"/>
      <c r="L32" s="70"/>
      <c r="M32" s="71"/>
      <c r="N32" s="72"/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32.05" hidden="false" customHeight="true" outlineLevel="0" collapsed="false">
      <c r="B33" s="69" t="n">
        <v>3</v>
      </c>
      <c r="C33" s="78" t="s">
        <v>86</v>
      </c>
      <c r="D33" s="79" t="s">
        <v>3</v>
      </c>
      <c r="E33" s="65" t="s">
        <v>406</v>
      </c>
      <c r="F33" s="66"/>
      <c r="G33" s="66"/>
      <c r="H33" s="66"/>
      <c r="I33" s="67" t="s">
        <v>407</v>
      </c>
      <c r="J33" s="68"/>
      <c r="K33" s="69"/>
      <c r="L33" s="70" t="s">
        <v>408</v>
      </c>
      <c r="M33" s="71"/>
      <c r="N33" s="73" t="s">
        <v>167</v>
      </c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32.05" hidden="false" customHeight="true" outlineLevel="0" collapsed="false">
      <c r="B34" s="69" t="n">
        <v>4</v>
      </c>
      <c r="C34" s="78" t="s">
        <v>86</v>
      </c>
      <c r="D34" s="79" t="s">
        <v>3</v>
      </c>
      <c r="E34" s="65" t="s">
        <v>409</v>
      </c>
      <c r="F34" s="66"/>
      <c r="G34" s="66"/>
      <c r="H34" s="66"/>
      <c r="I34" s="67" t="s">
        <v>407</v>
      </c>
      <c r="J34" s="68"/>
      <c r="K34" s="69"/>
      <c r="L34" s="70" t="s">
        <v>409</v>
      </c>
      <c r="M34" s="71"/>
      <c r="N34" s="73" t="s">
        <v>167</v>
      </c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20.45" hidden="false" customHeight="true" outlineLevel="0" collapsed="false">
      <c r="B35" s="69" t="n">
        <v>5</v>
      </c>
      <c r="C35" s="78" t="s">
        <v>86</v>
      </c>
      <c r="D35" s="79" t="s">
        <v>3</v>
      </c>
      <c r="E35" s="65"/>
      <c r="F35" s="66"/>
      <c r="G35" s="66"/>
      <c r="H35" s="66"/>
      <c r="I35" s="67"/>
      <c r="J35" s="68"/>
      <c r="K35" s="69"/>
      <c r="L35" s="70"/>
      <c r="M35" s="71"/>
      <c r="N35" s="72"/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20.45" hidden="false" customHeight="true" outlineLevel="0" collapsed="false">
      <c r="B36" s="69" t="n">
        <v>6</v>
      </c>
      <c r="C36" s="78" t="s">
        <v>86</v>
      </c>
      <c r="D36" s="79" t="s">
        <v>3</v>
      </c>
      <c r="E36" s="65"/>
      <c r="F36" s="66"/>
      <c r="G36" s="66"/>
      <c r="H36" s="66"/>
      <c r="I36" s="67"/>
      <c r="J36" s="68"/>
      <c r="K36" s="69"/>
      <c r="L36" s="70"/>
      <c r="M36" s="71"/>
      <c r="N36" s="72"/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20.45" hidden="false" customHeight="true" outlineLevel="0" collapsed="false">
      <c r="B37" s="69" t="n">
        <v>7</v>
      </c>
      <c r="C37" s="78" t="s">
        <v>86</v>
      </c>
      <c r="D37" s="79" t="s">
        <v>3</v>
      </c>
      <c r="E37" s="65"/>
      <c r="F37" s="66"/>
      <c r="G37" s="66"/>
      <c r="H37" s="66"/>
      <c r="I37" s="67"/>
      <c r="J37" s="68"/>
      <c r="K37" s="69"/>
      <c r="L37" s="70"/>
      <c r="M37" s="71"/>
      <c r="N37" s="72"/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20.45" hidden="false" customHeight="true" outlineLevel="0" collapsed="false">
      <c r="B38" s="69" t="n">
        <v>8</v>
      </c>
      <c r="C38" s="78" t="s">
        <v>86</v>
      </c>
      <c r="D38" s="79" t="s">
        <v>3</v>
      </c>
      <c r="E38" s="81"/>
      <c r="F38" s="66"/>
      <c r="G38" s="66"/>
      <c r="H38" s="66"/>
      <c r="I38" s="67"/>
      <c r="J38" s="68"/>
      <c r="K38" s="69"/>
      <c r="L38" s="65"/>
      <c r="M38" s="71"/>
      <c r="N38" s="72"/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20.45" hidden="false" customHeight="true" outlineLevel="0" collapsed="false">
      <c r="B39" s="69" t="n">
        <v>9</v>
      </c>
      <c r="C39" s="78" t="s">
        <v>86</v>
      </c>
      <c r="D39" s="79" t="s">
        <v>3</v>
      </c>
      <c r="E39" s="65"/>
      <c r="F39" s="66"/>
      <c r="G39" s="66"/>
      <c r="H39" s="66"/>
      <c r="I39" s="67"/>
      <c r="J39" s="68"/>
      <c r="K39" s="69"/>
      <c r="L39" s="70"/>
      <c r="M39" s="71"/>
      <c r="N39" s="72"/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20.45" hidden="false" customHeight="true" outlineLevel="0" collapsed="false">
      <c r="B40" s="69" t="n">
        <v>10</v>
      </c>
      <c r="C40" s="78" t="s">
        <v>86</v>
      </c>
      <c r="D40" s="79" t="s">
        <v>3</v>
      </c>
      <c r="E40" s="65"/>
      <c r="F40" s="66"/>
      <c r="G40" s="66"/>
      <c r="H40" s="66"/>
      <c r="I40" s="67"/>
      <c r="J40" s="68"/>
      <c r="K40" s="69"/>
      <c r="L40" s="70"/>
      <c r="M40" s="71"/>
      <c r="N40" s="72"/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20.45" hidden="false" customHeight="true" outlineLevel="0" collapsed="false">
      <c r="B41" s="69" t="n">
        <v>11</v>
      </c>
      <c r="C41" s="78" t="s">
        <v>86</v>
      </c>
      <c r="D41" s="79" t="s">
        <v>3</v>
      </c>
      <c r="E41" s="65"/>
      <c r="F41" s="66"/>
      <c r="G41" s="66"/>
      <c r="H41" s="66"/>
      <c r="I41" s="67"/>
      <c r="J41" s="68"/>
      <c r="K41" s="69"/>
      <c r="L41" s="70"/>
      <c r="M41" s="71"/>
      <c r="N41" s="72"/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20.45" hidden="false" customHeight="true" outlineLevel="0" collapsed="false">
      <c r="B42" s="69" t="n">
        <v>12</v>
      </c>
      <c r="C42" s="78" t="s">
        <v>86</v>
      </c>
      <c r="D42" s="79" t="s">
        <v>3</v>
      </c>
      <c r="E42" s="81"/>
      <c r="F42" s="66"/>
      <c r="G42" s="66"/>
      <c r="H42" s="66"/>
      <c r="I42" s="67"/>
      <c r="J42" s="68"/>
      <c r="K42" s="69"/>
      <c r="L42" s="65"/>
      <c r="M42" s="71"/>
      <c r="N42" s="72"/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20.45" hidden="false" customHeight="true" outlineLevel="0" collapsed="false">
      <c r="B43" s="69" t="n">
        <v>13</v>
      </c>
      <c r="C43" s="78" t="s">
        <v>86</v>
      </c>
      <c r="D43" s="79" t="s">
        <v>3</v>
      </c>
      <c r="E43" s="65"/>
      <c r="F43" s="66"/>
      <c r="G43" s="66"/>
      <c r="H43" s="66"/>
      <c r="I43" s="67"/>
      <c r="J43" s="68"/>
      <c r="K43" s="69"/>
      <c r="L43" s="70"/>
      <c r="M43" s="71"/>
      <c r="N43" s="72"/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20.45" hidden="false" customHeight="true" outlineLevel="0" collapsed="false">
      <c r="B44" s="69" t="n">
        <v>14</v>
      </c>
      <c r="C44" s="78" t="s">
        <v>86</v>
      </c>
      <c r="D44" s="79" t="s">
        <v>3</v>
      </c>
      <c r="E44" s="65"/>
      <c r="F44" s="66"/>
      <c r="G44" s="66"/>
      <c r="H44" s="66"/>
      <c r="I44" s="67"/>
      <c r="J44" s="68"/>
      <c r="K44" s="69"/>
      <c r="L44" s="70"/>
      <c r="M44" s="71"/>
      <c r="N44" s="72"/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20.45" hidden="false" customHeight="true" outlineLevel="0" collapsed="false">
      <c r="B45" s="69" t="n">
        <v>15</v>
      </c>
      <c r="C45" s="78" t="s">
        <v>86</v>
      </c>
      <c r="D45" s="79" t="s">
        <v>3</v>
      </c>
      <c r="E45" s="65"/>
      <c r="F45" s="66"/>
      <c r="G45" s="66"/>
      <c r="H45" s="66"/>
      <c r="I45" s="67"/>
      <c r="J45" s="68"/>
      <c r="K45" s="69"/>
      <c r="L45" s="70"/>
      <c r="M45" s="71"/>
      <c r="N45" s="72"/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20.45" hidden="false" customHeight="true" outlineLevel="0" collapsed="false">
      <c r="B46" s="69" t="n">
        <v>16</v>
      </c>
      <c r="C46" s="78" t="s">
        <v>86</v>
      </c>
      <c r="D46" s="79" t="s">
        <v>3</v>
      </c>
      <c r="E46" s="65"/>
      <c r="F46" s="66"/>
      <c r="G46" s="66"/>
      <c r="H46" s="66"/>
      <c r="I46" s="67"/>
      <c r="J46" s="68"/>
      <c r="K46" s="69"/>
      <c r="L46" s="70"/>
      <c r="M46" s="71"/>
      <c r="N46" s="72"/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20.45" hidden="false" customHeight="true" outlineLevel="0" collapsed="false">
      <c r="B47" s="69" t="n">
        <v>17</v>
      </c>
      <c r="C47" s="78" t="s">
        <v>86</v>
      </c>
      <c r="D47" s="79" t="s">
        <v>3</v>
      </c>
      <c r="E47" s="65"/>
      <c r="F47" s="66"/>
      <c r="G47" s="66"/>
      <c r="H47" s="66"/>
      <c r="I47" s="67"/>
      <c r="J47" s="68"/>
      <c r="K47" s="69"/>
      <c r="L47" s="70"/>
      <c r="M47" s="71"/>
      <c r="N47" s="72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20.45" hidden="false" customHeight="true" outlineLevel="0" collapsed="false">
      <c r="B48" s="69" t="n">
        <v>18</v>
      </c>
      <c r="C48" s="78" t="s">
        <v>86</v>
      </c>
      <c r="D48" s="79" t="s">
        <v>3</v>
      </c>
      <c r="E48" s="65"/>
      <c r="F48" s="66"/>
      <c r="G48" s="66"/>
      <c r="H48" s="66"/>
      <c r="I48" s="67"/>
      <c r="J48" s="68"/>
      <c r="K48" s="69"/>
      <c r="L48" s="70"/>
      <c r="M48" s="71"/>
      <c r="N48" s="72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20.45" hidden="false" customHeight="true" outlineLevel="0" collapsed="false">
      <c r="B49" s="69" t="n">
        <v>19</v>
      </c>
      <c r="C49" s="78" t="s">
        <v>86</v>
      </c>
      <c r="D49" s="79" t="s">
        <v>3</v>
      </c>
      <c r="E49" s="65"/>
      <c r="F49" s="66"/>
      <c r="G49" s="66"/>
      <c r="H49" s="66"/>
      <c r="I49" s="67"/>
      <c r="J49" s="68"/>
      <c r="K49" s="69"/>
      <c r="L49" s="70"/>
      <c r="M49" s="71"/>
      <c r="N49" s="72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32.05" hidden="false" customHeight="true" outlineLevel="0" collapsed="false">
      <c r="B50" s="69" t="n">
        <v>20</v>
      </c>
      <c r="C50" s="78" t="s">
        <v>86</v>
      </c>
      <c r="D50" s="79" t="s">
        <v>3</v>
      </c>
      <c r="E50" s="65" t="s">
        <v>410</v>
      </c>
      <c r="F50" s="66"/>
      <c r="G50" s="66"/>
      <c r="H50" s="66"/>
      <c r="I50" s="67" t="s">
        <v>411</v>
      </c>
      <c r="J50" s="68"/>
      <c r="K50" s="69"/>
      <c r="L50" s="70" t="s">
        <v>412</v>
      </c>
      <c r="M50" s="71"/>
      <c r="N50" s="73" t="s">
        <v>167</v>
      </c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20.45" hidden="false" customHeight="true" outlineLevel="0" collapsed="false">
      <c r="B51" s="69" t="n">
        <v>21</v>
      </c>
      <c r="C51" s="78" t="s">
        <v>86</v>
      </c>
      <c r="D51" s="79" t="s">
        <v>3</v>
      </c>
      <c r="E51" s="65" t="s">
        <v>413</v>
      </c>
      <c r="F51" s="66"/>
      <c r="G51" s="66"/>
      <c r="H51" s="66"/>
      <c r="I51" s="67" t="s">
        <v>411</v>
      </c>
      <c r="J51" s="68"/>
      <c r="K51" s="69"/>
      <c r="L51" s="70" t="s">
        <v>414</v>
      </c>
      <c r="M51" s="71" t="s">
        <v>53</v>
      </c>
      <c r="N51" s="72" t="s">
        <v>415</v>
      </c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20.45" hidden="false" customHeight="true" outlineLevel="0" collapsed="false">
      <c r="B52" s="69" t="n">
        <v>22</v>
      </c>
      <c r="C52" s="78" t="s">
        <v>86</v>
      </c>
      <c r="D52" s="79" t="s">
        <v>3</v>
      </c>
      <c r="E52" s="65" t="s">
        <v>416</v>
      </c>
      <c r="F52" s="66"/>
      <c r="G52" s="66"/>
      <c r="H52" s="66"/>
      <c r="I52" s="67" t="s">
        <v>411</v>
      </c>
      <c r="J52" s="68"/>
      <c r="K52" s="69"/>
      <c r="L52" s="70" t="s">
        <v>417</v>
      </c>
      <c r="M52" s="71" t="s">
        <v>53</v>
      </c>
      <c r="N52" s="72" t="s">
        <v>415</v>
      </c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32.05" hidden="false" customHeight="true" outlineLevel="0" collapsed="false">
      <c r="B53" s="69" t="n">
        <v>23</v>
      </c>
      <c r="C53" s="78" t="s">
        <v>86</v>
      </c>
      <c r="D53" s="79" t="s">
        <v>3</v>
      </c>
      <c r="E53" s="65" t="s">
        <v>418</v>
      </c>
      <c r="F53" s="66"/>
      <c r="G53" s="66"/>
      <c r="H53" s="66"/>
      <c r="I53" s="67" t="s">
        <v>411</v>
      </c>
      <c r="J53" s="68"/>
      <c r="K53" s="69"/>
      <c r="L53" s="70" t="s">
        <v>419</v>
      </c>
      <c r="M53" s="65"/>
      <c r="N53" s="73" t="s">
        <v>167</v>
      </c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20.45" hidden="false" customHeight="true" outlineLevel="0" collapsed="false">
      <c r="B54" s="69" t="n">
        <v>24</v>
      </c>
      <c r="C54" s="78" t="s">
        <v>86</v>
      </c>
      <c r="D54" s="79" t="s">
        <v>3</v>
      </c>
      <c r="E54" s="65" t="s">
        <v>420</v>
      </c>
      <c r="F54" s="66"/>
      <c r="G54" s="66"/>
      <c r="H54" s="66"/>
      <c r="I54" s="67" t="s">
        <v>411</v>
      </c>
      <c r="J54" s="68"/>
      <c r="K54" s="69"/>
      <c r="L54" s="70" t="s">
        <v>421</v>
      </c>
      <c r="M54" s="71" t="s">
        <v>53</v>
      </c>
      <c r="N54" s="73" t="s">
        <v>394</v>
      </c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19 H24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10 F12:F19 F24:F54" type="whole">
      <formula1>0</formula1>
      <formula2>1000</formula2>
    </dataValidation>
    <dataValidation allowBlank="true" operator="equal" showDropDown="false" showErrorMessage="true" showInputMessage="false" sqref="J7:J10 J12:J19 J24:J54" type="list">
      <formula1>"K,L3,L2,L1"</formula1>
      <formula2>0</formula2>
    </dataValidation>
    <dataValidation allowBlank="true" operator="equal" showDropDown="false" showErrorMessage="true" showInputMessage="false" sqref="K7:K10 K12:K19 K24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5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6" topLeftCell="F16" activePane="bottomRight" state="frozen"/>
      <selection pane="topLeft" activeCell="A1" activeCellId="0" sqref="A1"/>
      <selection pane="topRight" activeCell="F1" activeCellId="0" sqref="F1"/>
      <selection pane="bottomLeft" activeCell="A16" activeCellId="0" sqref="A16"/>
      <selection pane="bottomRight" activeCell="N25" activeCellId="0" sqref="N25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422</v>
      </c>
      <c r="J6" s="35" t="s">
        <v>164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177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20.45" hidden="false" customHeight="true" outlineLevel="0" collapsed="false">
      <c r="B7" s="69" t="n">
        <v>1</v>
      </c>
      <c r="C7" s="78" t="s">
        <v>45</v>
      </c>
      <c r="D7" s="79" t="s">
        <v>3</v>
      </c>
      <c r="E7" s="71"/>
      <c r="F7" s="66"/>
      <c r="G7" s="66"/>
      <c r="H7" s="66"/>
      <c r="I7" s="67"/>
      <c r="J7" s="68"/>
      <c r="K7" s="69"/>
      <c r="L7" s="70"/>
      <c r="M7" s="71"/>
      <c r="N7" s="72"/>
      <c r="O7" s="64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32.05" hidden="false" customHeight="true" outlineLevel="0" collapsed="false">
      <c r="B8" s="69" t="n">
        <v>2</v>
      </c>
      <c r="C8" s="78" t="s">
        <v>45</v>
      </c>
      <c r="D8" s="79" t="s">
        <v>3</v>
      </c>
      <c r="E8" s="71" t="s">
        <v>423</v>
      </c>
      <c r="F8" s="66"/>
      <c r="G8" s="66"/>
      <c r="H8" s="66"/>
      <c r="I8" s="67" t="s">
        <v>422</v>
      </c>
      <c r="J8" s="68" t="s">
        <v>164</v>
      </c>
      <c r="K8" s="69"/>
      <c r="L8" s="71" t="s">
        <v>424</v>
      </c>
      <c r="M8" s="71" t="s">
        <v>53</v>
      </c>
      <c r="N8" s="73" t="s">
        <v>394</v>
      </c>
      <c r="O8" s="64"/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32.05" hidden="false" customHeight="true" outlineLevel="0" collapsed="false">
      <c r="B9" s="69" t="n">
        <v>3</v>
      </c>
      <c r="C9" s="78" t="s">
        <v>45</v>
      </c>
      <c r="D9" s="79" t="s">
        <v>3</v>
      </c>
      <c r="E9" s="65" t="s">
        <v>425</v>
      </c>
      <c r="F9" s="66"/>
      <c r="G9" s="66"/>
      <c r="H9" s="66"/>
      <c r="I9" s="67" t="s">
        <v>422</v>
      </c>
      <c r="J9" s="68" t="s">
        <v>164</v>
      </c>
      <c r="K9" s="69"/>
      <c r="L9" s="65" t="s">
        <v>426</v>
      </c>
      <c r="M9" s="71"/>
      <c r="N9" s="73" t="s">
        <v>167</v>
      </c>
      <c r="O9" s="64"/>
      <c r="P9" s="29"/>
      <c r="Q9" s="57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32.05" hidden="false" customHeight="true" outlineLevel="0" collapsed="false">
      <c r="B10" s="69" t="n">
        <v>4</v>
      </c>
      <c r="C10" s="78" t="s">
        <v>45</v>
      </c>
      <c r="D10" s="79" t="s">
        <v>3</v>
      </c>
      <c r="E10" s="65" t="s">
        <v>427</v>
      </c>
      <c r="F10" s="66"/>
      <c r="G10" s="66"/>
      <c r="H10" s="66"/>
      <c r="I10" s="67" t="s">
        <v>422</v>
      </c>
      <c r="J10" s="68" t="s">
        <v>164</v>
      </c>
      <c r="K10" s="69"/>
      <c r="L10" s="65" t="s">
        <v>428</v>
      </c>
      <c r="M10" s="71" t="s">
        <v>53</v>
      </c>
      <c r="N10" s="73" t="s">
        <v>394</v>
      </c>
      <c r="O10" s="64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20.45" hidden="false" customHeight="true" outlineLevel="0" collapsed="false">
      <c r="B11" s="69" t="n">
        <v>5</v>
      </c>
      <c r="C11" s="78" t="s">
        <v>45</v>
      </c>
      <c r="D11" s="79" t="s">
        <v>3</v>
      </c>
      <c r="E11" s="0" t="s">
        <v>429</v>
      </c>
      <c r="I11" s="67" t="s">
        <v>422</v>
      </c>
      <c r="J11" s="68" t="s">
        <v>164</v>
      </c>
      <c r="L11" s="0" t="s">
        <v>430</v>
      </c>
      <c r="M11" s="71" t="s">
        <v>53</v>
      </c>
      <c r="N11" s="73" t="s">
        <v>394</v>
      </c>
      <c r="O11" s="64"/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20.45" hidden="false" customHeight="true" outlineLevel="0" collapsed="false">
      <c r="B12" s="69" t="n">
        <v>6</v>
      </c>
      <c r="C12" s="78" t="s">
        <v>45</v>
      </c>
      <c r="D12" s="79" t="s">
        <v>3</v>
      </c>
      <c r="E12" s="65" t="s">
        <v>431</v>
      </c>
      <c r="F12" s="66"/>
      <c r="G12" s="66"/>
      <c r="H12" s="66"/>
      <c r="I12" s="67" t="s">
        <v>422</v>
      </c>
      <c r="J12" s="68" t="s">
        <v>164</v>
      </c>
      <c r="K12" s="69"/>
      <c r="L12" s="70" t="s">
        <v>432</v>
      </c>
      <c r="M12" s="71" t="s">
        <v>53</v>
      </c>
      <c r="N12" s="73" t="s">
        <v>394</v>
      </c>
      <c r="O12" s="64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20.45" hidden="false" customHeight="true" outlineLevel="0" collapsed="false">
      <c r="B13" s="69" t="n">
        <v>7</v>
      </c>
      <c r="C13" s="78" t="s">
        <v>45</v>
      </c>
      <c r="D13" s="79" t="s">
        <v>3</v>
      </c>
      <c r="E13" s="65" t="s">
        <v>433</v>
      </c>
      <c r="F13" s="66"/>
      <c r="G13" s="66"/>
      <c r="H13" s="66"/>
      <c r="I13" s="67" t="s">
        <v>422</v>
      </c>
      <c r="J13" s="68" t="s">
        <v>164</v>
      </c>
      <c r="K13" s="69"/>
      <c r="L13" s="70" t="s">
        <v>434</v>
      </c>
      <c r="M13" s="71" t="s">
        <v>53</v>
      </c>
      <c r="N13" s="73" t="s">
        <v>394</v>
      </c>
      <c r="O13" s="64"/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20.45" hidden="false" customHeight="true" outlineLevel="0" collapsed="false">
      <c r="B14" s="69" t="n">
        <v>8</v>
      </c>
      <c r="C14" s="78" t="s">
        <v>45</v>
      </c>
      <c r="D14" s="79" t="s">
        <v>3</v>
      </c>
      <c r="E14" s="65"/>
      <c r="F14" s="66"/>
      <c r="G14" s="66"/>
      <c r="H14" s="66"/>
      <c r="I14" s="67"/>
      <c r="J14" s="68"/>
      <c r="K14" s="69"/>
      <c r="L14" s="70"/>
      <c r="M14" s="71"/>
      <c r="N14" s="72"/>
      <c r="O14" s="64"/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20.45" hidden="false" customHeight="true" outlineLevel="0" collapsed="false">
      <c r="B15" s="69" t="n">
        <v>9</v>
      </c>
      <c r="C15" s="78" t="s">
        <v>45</v>
      </c>
      <c r="D15" s="79" t="s">
        <v>3</v>
      </c>
      <c r="E15" s="84"/>
      <c r="F15" s="66"/>
      <c r="G15" s="66"/>
      <c r="H15" s="66"/>
      <c r="I15" s="67"/>
      <c r="J15" s="68"/>
      <c r="K15" s="69"/>
      <c r="L15" s="70"/>
      <c r="M15" s="71"/>
      <c r="N15" s="72"/>
      <c r="O15" s="64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20.45" hidden="false" customHeight="true" outlineLevel="0" collapsed="false">
      <c r="B16" s="69" t="n">
        <v>10</v>
      </c>
      <c r="C16" s="78" t="s">
        <v>45</v>
      </c>
      <c r="D16" s="79" t="s">
        <v>3</v>
      </c>
      <c r="E16" s="65"/>
      <c r="F16" s="66"/>
      <c r="G16" s="66"/>
      <c r="H16" s="66"/>
      <c r="I16" s="67"/>
      <c r="J16" s="68"/>
      <c r="K16" s="69"/>
      <c r="L16" s="70"/>
      <c r="M16" s="71"/>
      <c r="N16" s="85"/>
      <c r="O16" s="64"/>
      <c r="P16" s="29"/>
      <c r="Q16" s="57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20.45" hidden="false" customHeight="true" outlineLevel="0" collapsed="false">
      <c r="B17" s="69" t="n">
        <v>11</v>
      </c>
      <c r="C17" s="78" t="s">
        <v>45</v>
      </c>
      <c r="D17" s="79" t="s">
        <v>3</v>
      </c>
      <c r="E17" s="65"/>
      <c r="F17" s="66"/>
      <c r="G17" s="66"/>
      <c r="H17" s="66"/>
      <c r="I17" s="67"/>
      <c r="J17" s="68"/>
      <c r="K17" s="69"/>
      <c r="L17" s="70"/>
      <c r="M17" s="71"/>
      <c r="N17" s="72"/>
      <c r="O17" s="64"/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20.45" hidden="false" customHeight="true" outlineLevel="0" collapsed="false">
      <c r="B18" s="69" t="n">
        <v>12</v>
      </c>
      <c r="C18" s="78" t="s">
        <v>45</v>
      </c>
      <c r="D18" s="79" t="s">
        <v>3</v>
      </c>
      <c r="E18" s="65"/>
      <c r="F18" s="66"/>
      <c r="G18" s="66"/>
      <c r="H18" s="66"/>
      <c r="I18" s="67"/>
      <c r="J18" s="68"/>
      <c r="K18" s="69"/>
      <c r="L18" s="70"/>
      <c r="M18" s="71"/>
      <c r="N18" s="72"/>
      <c r="O18" s="64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20.45" hidden="false" customHeight="true" outlineLevel="0" collapsed="false">
      <c r="B19" s="69" t="n">
        <v>13</v>
      </c>
      <c r="C19" s="78" t="s">
        <v>45</v>
      </c>
      <c r="D19" s="79" t="s">
        <v>3</v>
      </c>
      <c r="E19" s="65"/>
      <c r="F19" s="66"/>
      <c r="G19" s="66"/>
      <c r="H19" s="66"/>
      <c r="I19" s="67"/>
      <c r="J19" s="68"/>
      <c r="K19" s="69"/>
      <c r="L19" s="70"/>
      <c r="M19" s="71"/>
      <c r="N19" s="72"/>
      <c r="O19" s="64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20.45" hidden="false" customHeight="true" outlineLevel="0" collapsed="false">
      <c r="B20" s="69" t="n">
        <v>14</v>
      </c>
      <c r="C20" s="78" t="s">
        <v>45</v>
      </c>
      <c r="D20" s="79" t="s">
        <v>3</v>
      </c>
      <c r="I20" s="67"/>
      <c r="N20" s="73"/>
      <c r="O20" s="64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20.45" hidden="false" customHeight="true" outlineLevel="0" collapsed="false">
      <c r="B21" s="69" t="n">
        <v>15</v>
      </c>
      <c r="C21" s="78" t="s">
        <v>45</v>
      </c>
      <c r="D21" s="79" t="s">
        <v>3</v>
      </c>
      <c r="I21" s="67"/>
      <c r="L21" s="86"/>
      <c r="N21" s="73"/>
      <c r="O21" s="64"/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20.45" hidden="false" customHeight="true" outlineLevel="0" collapsed="false">
      <c r="B22" s="69" t="n">
        <v>16</v>
      </c>
      <c r="C22" s="78" t="s">
        <v>45</v>
      </c>
      <c r="D22" s="79" t="s">
        <v>3</v>
      </c>
      <c r="I22" s="67"/>
      <c r="L22" s="86"/>
      <c r="N22" s="73"/>
      <c r="O22" s="64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20.45" hidden="false" customHeight="true" outlineLevel="0" collapsed="false">
      <c r="B23" s="69" t="n">
        <v>17</v>
      </c>
      <c r="C23" s="78" t="s">
        <v>45</v>
      </c>
      <c r="D23" s="79" t="s">
        <v>3</v>
      </c>
      <c r="I23" s="67"/>
      <c r="N23" s="73"/>
      <c r="O23" s="64"/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20.45" hidden="false" customHeight="true" outlineLevel="0" collapsed="false">
      <c r="B24" s="69" t="n">
        <v>18</v>
      </c>
      <c r="C24" s="78" t="s">
        <v>45</v>
      </c>
      <c r="D24" s="79" t="s">
        <v>3</v>
      </c>
      <c r="E24" s="65"/>
      <c r="F24" s="66"/>
      <c r="G24" s="66"/>
      <c r="H24" s="66"/>
      <c r="I24" s="67"/>
      <c r="J24" s="68"/>
      <c r="K24" s="69"/>
      <c r="L24" s="70"/>
      <c r="M24" s="71"/>
      <c r="N24" s="73"/>
      <c r="O24" s="64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43.65" hidden="false" customHeight="true" outlineLevel="0" collapsed="false">
      <c r="B25" s="69" t="n">
        <v>19</v>
      </c>
      <c r="C25" s="78" t="s">
        <v>45</v>
      </c>
      <c r="D25" s="79" t="s">
        <v>3</v>
      </c>
      <c r="E25" s="65" t="s">
        <v>435</v>
      </c>
      <c r="F25" s="66"/>
      <c r="G25" s="66"/>
      <c r="H25" s="66"/>
      <c r="I25" s="67" t="s">
        <v>436</v>
      </c>
      <c r="J25" s="68" t="s">
        <v>164</v>
      </c>
      <c r="K25" s="69"/>
      <c r="L25" s="87" t="s">
        <v>437</v>
      </c>
      <c r="M25" s="53" t="s">
        <v>438</v>
      </c>
      <c r="N25" s="73" t="s">
        <v>439</v>
      </c>
      <c r="O25" s="64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20.45" hidden="false" customHeight="true" outlineLevel="0" collapsed="false">
      <c r="B26" s="69" t="n">
        <v>20</v>
      </c>
      <c r="C26" s="78" t="s">
        <v>45</v>
      </c>
      <c r="D26" s="79" t="s">
        <v>3</v>
      </c>
      <c r="O26" s="64"/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32.05" hidden="false" customHeight="true" outlineLevel="0" collapsed="false">
      <c r="B27" s="69" t="n">
        <v>21</v>
      </c>
      <c r="C27" s="78" t="s">
        <v>45</v>
      </c>
      <c r="D27" s="79" t="s">
        <v>3</v>
      </c>
      <c r="E27" s="0" t="s">
        <v>440</v>
      </c>
      <c r="I27" s="67" t="s">
        <v>436</v>
      </c>
      <c r="J27" s="68" t="s">
        <v>164</v>
      </c>
      <c r="L27" s="0" t="s">
        <v>441</v>
      </c>
      <c r="M27" s="71" t="s">
        <v>53</v>
      </c>
      <c r="N27" s="73" t="s">
        <v>394</v>
      </c>
      <c r="O27" s="64"/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32.05" hidden="false" customHeight="true" outlineLevel="0" collapsed="false">
      <c r="B28" s="69" t="n">
        <v>22</v>
      </c>
      <c r="C28" s="78" t="s">
        <v>45</v>
      </c>
      <c r="D28" s="79" t="s">
        <v>3</v>
      </c>
      <c r="E28" s="65" t="s">
        <v>442</v>
      </c>
      <c r="F28" s="66"/>
      <c r="G28" s="66"/>
      <c r="H28" s="66"/>
      <c r="I28" s="67" t="s">
        <v>436</v>
      </c>
      <c r="J28" s="68" t="s">
        <v>164</v>
      </c>
      <c r="K28" s="69"/>
      <c r="L28" s="86" t="s">
        <v>443</v>
      </c>
      <c r="M28" s="71" t="s">
        <v>53</v>
      </c>
      <c r="N28" s="72" t="s">
        <v>444</v>
      </c>
      <c r="O28" s="64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32.05" hidden="false" customHeight="true" outlineLevel="0" collapsed="false">
      <c r="B29" s="69" t="n">
        <v>23</v>
      </c>
      <c r="C29" s="78" t="s">
        <v>45</v>
      </c>
      <c r="D29" s="79" t="s">
        <v>3</v>
      </c>
      <c r="E29" s="65" t="s">
        <v>445</v>
      </c>
      <c r="F29" s="66"/>
      <c r="G29" s="66"/>
      <c r="H29" s="66"/>
      <c r="I29" s="67" t="s">
        <v>436</v>
      </c>
      <c r="J29" s="68" t="s">
        <v>164</v>
      </c>
      <c r="K29" s="69"/>
      <c r="L29" s="70" t="s">
        <v>446</v>
      </c>
      <c r="M29" s="71" t="s">
        <v>53</v>
      </c>
      <c r="N29" s="72" t="s">
        <v>444</v>
      </c>
      <c r="O29" s="64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32.05" hidden="false" customHeight="true" outlineLevel="0" collapsed="false">
      <c r="B30" s="69" t="n">
        <v>24</v>
      </c>
      <c r="C30" s="78" t="s">
        <v>45</v>
      </c>
      <c r="D30" s="79" t="s">
        <v>3</v>
      </c>
      <c r="E30" s="65" t="s">
        <v>447</v>
      </c>
      <c r="F30" s="66"/>
      <c r="G30" s="66"/>
      <c r="H30" s="66"/>
      <c r="I30" s="67" t="s">
        <v>436</v>
      </c>
      <c r="J30" s="68" t="s">
        <v>164</v>
      </c>
      <c r="K30" s="69"/>
      <c r="L30" s="65" t="s">
        <v>448</v>
      </c>
      <c r="M30" s="71" t="s">
        <v>53</v>
      </c>
      <c r="N30" s="72" t="s">
        <v>444</v>
      </c>
      <c r="O30" s="64"/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20.45" hidden="false" customHeight="true" outlineLevel="0" collapsed="false">
      <c r="B31" s="69" t="n">
        <v>1</v>
      </c>
      <c r="C31" s="78" t="s">
        <v>86</v>
      </c>
      <c r="D31" s="79" t="s">
        <v>3</v>
      </c>
      <c r="E31" s="71"/>
      <c r="F31" s="66"/>
      <c r="G31" s="66"/>
      <c r="H31" s="66"/>
      <c r="I31" s="67"/>
      <c r="J31" s="68"/>
      <c r="K31" s="69"/>
      <c r="L31" s="70"/>
      <c r="M31" s="71"/>
      <c r="N31" s="72"/>
      <c r="O31" s="64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20.45" hidden="false" customHeight="true" outlineLevel="0" collapsed="false">
      <c r="B32" s="69" t="n">
        <v>3</v>
      </c>
      <c r="C32" s="78" t="s">
        <v>86</v>
      </c>
      <c r="D32" s="79" t="s">
        <v>3</v>
      </c>
      <c r="E32" s="71" t="s">
        <v>449</v>
      </c>
      <c r="F32" s="66"/>
      <c r="G32" s="66"/>
      <c r="H32" s="66"/>
      <c r="I32" s="67" t="s">
        <v>450</v>
      </c>
      <c r="J32" s="68" t="s">
        <v>164</v>
      </c>
      <c r="K32" s="69"/>
      <c r="L32" s="70" t="s">
        <v>450</v>
      </c>
      <c r="M32" s="71"/>
      <c r="N32" s="73" t="s">
        <v>167</v>
      </c>
      <c r="O32" s="64"/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32.05" hidden="false" customHeight="true" outlineLevel="0" collapsed="false">
      <c r="B33" s="69" t="n">
        <v>4</v>
      </c>
      <c r="C33" s="78" t="s">
        <v>86</v>
      </c>
      <c r="D33" s="79" t="s">
        <v>3</v>
      </c>
      <c r="E33" s="65" t="s">
        <v>451</v>
      </c>
      <c r="F33" s="66"/>
      <c r="G33" s="66"/>
      <c r="H33" s="66"/>
      <c r="I33" s="67" t="s">
        <v>450</v>
      </c>
      <c r="J33" s="68" t="s">
        <v>164</v>
      </c>
      <c r="K33" s="69"/>
      <c r="L33" s="70" t="s">
        <v>452</v>
      </c>
      <c r="M33" s="71" t="s">
        <v>53</v>
      </c>
      <c r="N33" s="73" t="s">
        <v>167</v>
      </c>
      <c r="O33" s="64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32.05" hidden="false" customHeight="true" outlineLevel="0" collapsed="false">
      <c r="B34" s="69" t="n">
        <v>4</v>
      </c>
      <c r="C34" s="78" t="s">
        <v>86</v>
      </c>
      <c r="D34" s="79" t="s">
        <v>3</v>
      </c>
      <c r="E34" s="65"/>
      <c r="F34" s="66"/>
      <c r="G34" s="66"/>
      <c r="H34" s="66"/>
      <c r="I34" s="67"/>
      <c r="J34" s="68"/>
      <c r="K34" s="69"/>
      <c r="L34" s="70"/>
      <c r="M34" s="71"/>
      <c r="N34" s="72"/>
      <c r="O34" s="64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20.45" hidden="false" customHeight="true" outlineLevel="0" collapsed="false">
      <c r="B35" s="69" t="n">
        <v>5</v>
      </c>
      <c r="C35" s="78" t="s">
        <v>86</v>
      </c>
      <c r="D35" s="79" t="s">
        <v>3</v>
      </c>
      <c r="E35" s="65"/>
      <c r="F35" s="66"/>
      <c r="G35" s="66"/>
      <c r="H35" s="66"/>
      <c r="I35" s="67"/>
      <c r="J35" s="68"/>
      <c r="K35" s="69"/>
      <c r="L35" s="70"/>
      <c r="M35" s="71"/>
      <c r="N35" s="72"/>
      <c r="O35" s="64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20.45" hidden="false" customHeight="true" outlineLevel="0" collapsed="false">
      <c r="B36" s="69" t="n">
        <v>6</v>
      </c>
      <c r="C36" s="78" t="s">
        <v>86</v>
      </c>
      <c r="D36" s="79" t="s">
        <v>3</v>
      </c>
      <c r="E36" s="65"/>
      <c r="F36" s="66"/>
      <c r="G36" s="66"/>
      <c r="H36" s="66"/>
      <c r="I36" s="67"/>
      <c r="J36" s="68"/>
      <c r="K36" s="69"/>
      <c r="L36" s="70"/>
      <c r="M36" s="71"/>
      <c r="N36" s="72"/>
      <c r="O36" s="64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20.45" hidden="false" customHeight="true" outlineLevel="0" collapsed="false">
      <c r="B37" s="69" t="n">
        <v>7</v>
      </c>
      <c r="C37" s="78" t="s">
        <v>86</v>
      </c>
      <c r="D37" s="79" t="s">
        <v>3</v>
      </c>
      <c r="E37" s="65"/>
      <c r="F37" s="66"/>
      <c r="G37" s="66"/>
      <c r="H37" s="66"/>
      <c r="I37" s="67"/>
      <c r="J37" s="68"/>
      <c r="K37" s="69"/>
      <c r="L37" s="70"/>
      <c r="M37" s="71"/>
      <c r="N37" s="72"/>
      <c r="O37" s="64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20.45" hidden="false" customHeight="true" outlineLevel="0" collapsed="false">
      <c r="B38" s="69" t="n">
        <v>8</v>
      </c>
      <c r="C38" s="78" t="s">
        <v>86</v>
      </c>
      <c r="D38" s="79" t="s">
        <v>3</v>
      </c>
      <c r="E38" s="81"/>
      <c r="F38" s="66"/>
      <c r="G38" s="66"/>
      <c r="H38" s="66"/>
      <c r="I38" s="67"/>
      <c r="J38" s="68"/>
      <c r="K38" s="69"/>
      <c r="L38" s="65"/>
      <c r="M38" s="71"/>
      <c r="N38" s="72"/>
      <c r="O38" s="64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20.45" hidden="false" customHeight="true" outlineLevel="0" collapsed="false">
      <c r="B39" s="69" t="n">
        <v>9</v>
      </c>
      <c r="C39" s="78" t="s">
        <v>86</v>
      </c>
      <c r="D39" s="79" t="s">
        <v>3</v>
      </c>
      <c r="E39" s="65"/>
      <c r="F39" s="66"/>
      <c r="G39" s="66"/>
      <c r="H39" s="66"/>
      <c r="I39" s="67"/>
      <c r="J39" s="68"/>
      <c r="K39" s="69"/>
      <c r="L39" s="70"/>
      <c r="M39" s="71"/>
      <c r="N39" s="72"/>
      <c r="O39" s="64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20.45" hidden="false" customHeight="true" outlineLevel="0" collapsed="false">
      <c r="B40" s="69" t="n">
        <v>10</v>
      </c>
      <c r="C40" s="78" t="s">
        <v>86</v>
      </c>
      <c r="D40" s="79" t="s">
        <v>3</v>
      </c>
      <c r="E40" s="65" t="s">
        <v>453</v>
      </c>
      <c r="F40" s="66"/>
      <c r="G40" s="66"/>
      <c r="H40" s="66"/>
      <c r="I40" s="67" t="s">
        <v>454</v>
      </c>
      <c r="J40" s="68" t="s">
        <v>164</v>
      </c>
      <c r="K40" s="69"/>
      <c r="L40" s="70" t="s">
        <v>455</v>
      </c>
      <c r="M40" s="71" t="s">
        <v>53</v>
      </c>
      <c r="N40" s="72"/>
      <c r="O40" s="64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20.45" hidden="false" customHeight="true" outlineLevel="0" collapsed="false">
      <c r="B41" s="69" t="n">
        <v>11</v>
      </c>
      <c r="C41" s="78" t="s">
        <v>86</v>
      </c>
      <c r="D41" s="79" t="s">
        <v>3</v>
      </c>
      <c r="E41" s="65" t="s">
        <v>456</v>
      </c>
      <c r="F41" s="66"/>
      <c r="G41" s="66"/>
      <c r="H41" s="66"/>
      <c r="I41" s="67" t="s">
        <v>454</v>
      </c>
      <c r="J41" s="68" t="s">
        <v>164</v>
      </c>
      <c r="K41" s="69"/>
      <c r="L41" s="70" t="s">
        <v>457</v>
      </c>
      <c r="M41" s="71" t="s">
        <v>53</v>
      </c>
      <c r="N41" s="72"/>
      <c r="O41" s="64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20.45" hidden="false" customHeight="true" outlineLevel="0" collapsed="false">
      <c r="B42" s="69" t="n">
        <v>12</v>
      </c>
      <c r="C42" s="78" t="s">
        <v>86</v>
      </c>
      <c r="D42" s="79" t="s">
        <v>3</v>
      </c>
      <c r="E42" s="65" t="s">
        <v>458</v>
      </c>
      <c r="F42" s="66"/>
      <c r="G42" s="66"/>
      <c r="H42" s="66"/>
      <c r="I42" s="67" t="s">
        <v>454</v>
      </c>
      <c r="J42" s="68" t="s">
        <v>164</v>
      </c>
      <c r="K42" s="69"/>
      <c r="L42" s="70" t="s">
        <v>459</v>
      </c>
      <c r="M42" s="71" t="s">
        <v>53</v>
      </c>
      <c r="N42" s="72"/>
      <c r="O42" s="64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20.45" hidden="false" customHeight="true" outlineLevel="0" collapsed="false">
      <c r="B43" s="69" t="n">
        <v>13</v>
      </c>
      <c r="C43" s="78" t="s">
        <v>86</v>
      </c>
      <c r="D43" s="79" t="s">
        <v>3</v>
      </c>
      <c r="E43" s="65" t="s">
        <v>460</v>
      </c>
      <c r="F43" s="66"/>
      <c r="G43" s="66"/>
      <c r="H43" s="66"/>
      <c r="I43" s="67" t="s">
        <v>454</v>
      </c>
      <c r="J43" s="68" t="s">
        <v>164</v>
      </c>
      <c r="K43" s="69"/>
      <c r="L43" s="70" t="s">
        <v>461</v>
      </c>
      <c r="M43" s="71" t="s">
        <v>53</v>
      </c>
      <c r="N43" s="72"/>
      <c r="O43" s="64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20.45" hidden="false" customHeight="true" outlineLevel="0" collapsed="false">
      <c r="B44" s="69" t="n">
        <v>14</v>
      </c>
      <c r="C44" s="78" t="s">
        <v>86</v>
      </c>
      <c r="D44" s="79" t="s">
        <v>3</v>
      </c>
      <c r="N44" s="72"/>
      <c r="O44" s="64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20.45" hidden="false" customHeight="true" outlineLevel="0" collapsed="false">
      <c r="B45" s="69" t="n">
        <v>15</v>
      </c>
      <c r="C45" s="78" t="s">
        <v>86</v>
      </c>
      <c r="D45" s="79" t="s">
        <v>3</v>
      </c>
      <c r="N45" s="72"/>
      <c r="O45" s="64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20.45" hidden="false" customHeight="true" outlineLevel="0" collapsed="false">
      <c r="B46" s="69" t="n">
        <v>16</v>
      </c>
      <c r="C46" s="78" t="s">
        <v>86</v>
      </c>
      <c r="D46" s="79" t="s">
        <v>3</v>
      </c>
      <c r="N46" s="72"/>
      <c r="O46" s="64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20.45" hidden="false" customHeight="true" outlineLevel="0" collapsed="false">
      <c r="B47" s="69" t="n">
        <v>17</v>
      </c>
      <c r="C47" s="78" t="s">
        <v>86</v>
      </c>
      <c r="D47" s="79" t="s">
        <v>3</v>
      </c>
      <c r="E47" s="65" t="s">
        <v>462</v>
      </c>
      <c r="F47" s="66"/>
      <c r="G47" s="66"/>
      <c r="H47" s="66"/>
      <c r="I47" s="67" t="s">
        <v>463</v>
      </c>
      <c r="J47" s="68" t="s">
        <v>164</v>
      </c>
      <c r="K47" s="69"/>
      <c r="L47" s="70" t="s">
        <v>464</v>
      </c>
      <c r="M47" s="71" t="s">
        <v>53</v>
      </c>
      <c r="N47" s="72"/>
      <c r="O47" s="64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20.45" hidden="false" customHeight="true" outlineLevel="0" collapsed="false">
      <c r="B48" s="69" t="n">
        <v>18</v>
      </c>
      <c r="C48" s="78" t="s">
        <v>86</v>
      </c>
      <c r="D48" s="79" t="s">
        <v>3</v>
      </c>
      <c r="E48" s="65" t="s">
        <v>465</v>
      </c>
      <c r="F48" s="66"/>
      <c r="G48" s="66"/>
      <c r="H48" s="66"/>
      <c r="I48" s="67" t="s">
        <v>463</v>
      </c>
      <c r="J48" s="68" t="s">
        <v>164</v>
      </c>
      <c r="K48" s="69"/>
      <c r="L48" s="86" t="s">
        <v>466</v>
      </c>
      <c r="M48" s="71" t="s">
        <v>393</v>
      </c>
      <c r="N48" s="72"/>
      <c r="O48" s="64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20.45" hidden="false" customHeight="true" outlineLevel="0" collapsed="false">
      <c r="B49" s="69" t="n">
        <v>19</v>
      </c>
      <c r="C49" s="78" t="s">
        <v>86</v>
      </c>
      <c r="D49" s="79" t="s">
        <v>62</v>
      </c>
      <c r="E49" s="65"/>
      <c r="F49" s="66"/>
      <c r="G49" s="66"/>
      <c r="H49" s="66"/>
      <c r="I49" s="67"/>
      <c r="J49" s="68"/>
      <c r="K49" s="69"/>
      <c r="L49" s="70"/>
      <c r="M49" s="71"/>
      <c r="N49" s="72"/>
      <c r="O49" s="64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32.05" hidden="false" customHeight="true" outlineLevel="0" collapsed="false">
      <c r="B50" s="69" t="n">
        <v>20</v>
      </c>
      <c r="C50" s="78" t="s">
        <v>86</v>
      </c>
      <c r="D50" s="79" t="s">
        <v>3</v>
      </c>
      <c r="E50" s="65" t="s">
        <v>467</v>
      </c>
      <c r="F50" s="66"/>
      <c r="G50" s="66"/>
      <c r="H50" s="66"/>
      <c r="I50" s="67" t="s">
        <v>463</v>
      </c>
      <c r="J50" s="68" t="s">
        <v>164</v>
      </c>
      <c r="K50" s="69"/>
      <c r="L50" s="70" t="s">
        <v>468</v>
      </c>
      <c r="M50" s="71" t="s">
        <v>393</v>
      </c>
      <c r="N50" s="72"/>
      <c r="O50" s="64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20.45" hidden="false" customHeight="true" outlineLevel="0" collapsed="false">
      <c r="B51" s="69" t="n">
        <v>21</v>
      </c>
      <c r="C51" s="78" t="s">
        <v>86</v>
      </c>
      <c r="D51" s="79" t="s">
        <v>3</v>
      </c>
      <c r="E51" s="65" t="s">
        <v>469</v>
      </c>
      <c r="F51" s="66"/>
      <c r="G51" s="66"/>
      <c r="H51" s="66"/>
      <c r="I51" s="67" t="s">
        <v>463</v>
      </c>
      <c r="J51" s="68" t="s">
        <v>164</v>
      </c>
      <c r="K51" s="69"/>
      <c r="L51" s="70" t="s">
        <v>470</v>
      </c>
      <c r="M51" s="71" t="s">
        <v>393</v>
      </c>
      <c r="N51" s="72"/>
      <c r="O51" s="64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20.45" hidden="false" customHeight="true" outlineLevel="0" collapsed="false">
      <c r="B52" s="69" t="n">
        <v>22</v>
      </c>
      <c r="C52" s="78" t="s">
        <v>86</v>
      </c>
      <c r="D52" s="79" t="s">
        <v>3</v>
      </c>
      <c r="E52" s="65" t="s">
        <v>471</v>
      </c>
      <c r="F52" s="66"/>
      <c r="G52" s="66"/>
      <c r="H52" s="66"/>
      <c r="I52" s="67" t="s">
        <v>463</v>
      </c>
      <c r="J52" s="68" t="s">
        <v>164</v>
      </c>
      <c r="K52" s="69"/>
      <c r="L52" s="65" t="s">
        <v>471</v>
      </c>
      <c r="M52" s="71"/>
      <c r="N52" s="73" t="s">
        <v>472</v>
      </c>
      <c r="O52" s="64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32.05" hidden="false" customHeight="true" outlineLevel="0" collapsed="false">
      <c r="B53" s="69" t="n">
        <v>23</v>
      </c>
      <c r="C53" s="78" t="s">
        <v>86</v>
      </c>
      <c r="D53" s="79" t="s">
        <v>3</v>
      </c>
      <c r="E53" s="65" t="s">
        <v>473</v>
      </c>
      <c r="F53" s="66"/>
      <c r="G53" s="66"/>
      <c r="H53" s="66"/>
      <c r="I53" s="67" t="s">
        <v>463</v>
      </c>
      <c r="J53" s="68" t="s">
        <v>164</v>
      </c>
      <c r="K53" s="69"/>
      <c r="L53" s="70" t="s">
        <v>474</v>
      </c>
      <c r="M53" s="65"/>
      <c r="N53" s="73" t="s">
        <v>167</v>
      </c>
      <c r="O53" s="64"/>
      <c r="P53" s="29"/>
      <c r="Q53" s="57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20.45" hidden="false" customHeight="true" outlineLevel="0" collapsed="false">
      <c r="B54" s="69" t="n">
        <v>24</v>
      </c>
      <c r="C54" s="78" t="s">
        <v>86</v>
      </c>
      <c r="D54" s="79" t="s">
        <v>3</v>
      </c>
      <c r="E54" s="65" t="s">
        <v>475</v>
      </c>
      <c r="F54" s="66"/>
      <c r="G54" s="66"/>
      <c r="H54" s="66"/>
      <c r="I54" s="67" t="s">
        <v>463</v>
      </c>
      <c r="J54" s="68" t="s">
        <v>164</v>
      </c>
      <c r="K54" s="69"/>
      <c r="L54" s="70" t="s">
        <v>476</v>
      </c>
      <c r="M54" s="71"/>
      <c r="N54" s="73" t="s">
        <v>167</v>
      </c>
      <c r="O54" s="64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54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10 H12:H19 H24:H25 H28:H43 H47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25 I27:I43 I47:I54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54" type="list">
      <formula1>"Yes,No"</formula1>
      <formula2>0</formula2>
    </dataValidation>
    <dataValidation allowBlank="true" operator="between" showDropDown="false" showErrorMessage="true" showInputMessage="false" sqref="F7:F10 F12:F19 F24:F25 F28:F43 F47:F54" type="whole">
      <formula1>0</formula1>
      <formula2>1000</formula2>
    </dataValidation>
    <dataValidation allowBlank="true" operator="equal" showDropDown="false" showErrorMessage="true" showInputMessage="false" sqref="J7:J19 J24:J25 J27:J43 J47:J54" type="list">
      <formula1>"K,L3,L2,L1"</formula1>
      <formula2>0</formula2>
    </dataValidation>
    <dataValidation allowBlank="true" operator="equal" showDropDown="false" showErrorMessage="true" showInputMessage="false" sqref="K7:K10 K12:K19 K24:K25 K28:K43 K47:K54" type="list">
      <formula1>"unfocused,focused"</formula1>
      <formula2>0</formula2>
    </dataValidation>
    <dataValidation allowBlank="true" operator="equal" showDropDown="false" showErrorMessage="true" showInputMessage="false" sqref="C7:C54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AE7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43" activePane="bottomRight" state="frozen"/>
      <selection pane="topLeft" activeCell="A1" activeCellId="0" sqref="A1"/>
      <selection pane="topRight" activeCell="F1" activeCellId="0" sqref="F1"/>
      <selection pane="bottomLeft" activeCell="A43" activeCellId="0" sqref="A43"/>
      <selection pane="bottomRight" activeCell="L67" activeCellId="1" sqref="N25 L67"/>
    </sheetView>
  </sheetViews>
  <sheetFormatPr defaultColWidth="9.0390625" defaultRowHeight="12.8" zeroHeight="false" outlineLevelRow="0" outlineLevelCol="0"/>
  <cols>
    <col collapsed="false" customWidth="true" hidden="true" outlineLevel="0" max="1" min="1" style="0" width="11.52"/>
    <col collapsed="false" customWidth="true" hidden="false" outlineLevel="0" max="4" min="3" style="0" width="10.01"/>
    <col collapsed="false" customWidth="true" hidden="false" outlineLevel="0" max="5" min="5" style="0" width="17.78"/>
    <col collapsed="false" customWidth="true" hidden="false" outlineLevel="0" max="6" min="6" style="0" width="10.12"/>
    <col collapsed="false" customWidth="true" hidden="false" outlineLevel="0" max="7" min="7" style="0" width="11.42"/>
    <col collapsed="false" customWidth="true" hidden="false" outlineLevel="0" max="8" min="8" style="0" width="13.12"/>
    <col collapsed="false" customWidth="true" hidden="false" outlineLevel="0" max="10" min="10" style="0" width="10.58"/>
    <col collapsed="false" customWidth="true" hidden="false" outlineLevel="0" max="11" min="11" style="0" width="10.12"/>
    <col collapsed="false" customWidth="true" hidden="false" outlineLevel="0" max="13" min="12" style="0" width="29.63"/>
    <col collapsed="false" customWidth="true" hidden="false" outlineLevel="0" max="14" min="14" style="0" width="41.37"/>
    <col collapsed="false" customWidth="true" hidden="false" outlineLevel="0" max="17" min="15" style="0" width="22.14"/>
    <col collapsed="false" customWidth="true" hidden="false" outlineLevel="0" max="21" min="18" style="0" width="14.43"/>
    <col collapsed="false" customWidth="true" hidden="false" outlineLevel="0" max="22" min="22" style="0" width="11.52"/>
    <col collapsed="false" customWidth="true" hidden="true" outlineLevel="0" max="28" min="23" style="1" width="11.52"/>
    <col collapsed="false" customWidth="true" hidden="true" outlineLevel="0" max="29" min="29" style="0" width="24.87"/>
    <col collapsed="false" customWidth="true" hidden="true" outlineLevel="0" max="30" min="30" style="0" width="27.09"/>
    <col collapsed="false" customWidth="true" hidden="true" outlineLevel="0" max="31" min="31" style="0" width="24.87"/>
  </cols>
  <sheetData>
    <row r="1" customFormat="false" ht="20.2" hidden="false" customHeight="true" outlineLevel="0" collapsed="false"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2.8" hidden="false" customHeight="false" outlineLevel="0" collapsed="false">
      <c r="B2" s="6" t="str">
        <f aca="false">_xlfn.CONCAT("Version: ",'Version history'!A3)</f>
        <v>Version: 14</v>
      </c>
      <c r="C2" s="6"/>
      <c r="D2" s="7"/>
      <c r="I2" s="8" t="s">
        <v>2</v>
      </c>
      <c r="J2" s="8"/>
      <c r="K2" s="9" t="s">
        <v>3</v>
      </c>
      <c r="L2" s="8" t="s">
        <v>4</v>
      </c>
      <c r="M2" s="10" t="s">
        <v>5</v>
      </c>
      <c r="N2" s="8" t="s">
        <v>6</v>
      </c>
      <c r="O2" s="11" t="n">
        <v>1</v>
      </c>
      <c r="Q2" s="12"/>
      <c r="R2" s="12"/>
      <c r="S2" s="12"/>
      <c r="T2" s="12"/>
      <c r="U2" s="12"/>
      <c r="V2" s="12"/>
      <c r="W2" s="11"/>
      <c r="X2" s="0"/>
      <c r="Y2" s="0"/>
      <c r="Z2" s="0"/>
      <c r="AA2" s="0"/>
      <c r="AB2" s="11"/>
    </row>
    <row r="3" customFormat="false" ht="12.8" hidden="false" customHeight="false" outlineLevel="0" collapsed="false">
      <c r="B3" s="13"/>
      <c r="C3" s="13"/>
      <c r="D3" s="13"/>
      <c r="I3" s="1"/>
      <c r="J3" s="11"/>
      <c r="K3" s="11"/>
      <c r="L3" s="12"/>
      <c r="N3" s="12"/>
      <c r="O3" s="12"/>
      <c r="Q3" s="12"/>
      <c r="R3" s="12"/>
      <c r="S3" s="12"/>
      <c r="T3" s="12"/>
      <c r="U3" s="12"/>
      <c r="V3" s="12"/>
      <c r="W3" s="11"/>
      <c r="X3" s="0"/>
      <c r="Y3" s="0"/>
      <c r="Z3" s="0"/>
      <c r="AA3" s="0"/>
      <c r="AB3" s="11"/>
    </row>
    <row r="4" customFormat="false" ht="23.2" hidden="false" customHeight="true" outlineLevel="0" collapsed="false">
      <c r="B4" s="1"/>
      <c r="C4" s="1"/>
      <c r="D4" s="14" t="s">
        <v>7</v>
      </c>
      <c r="E4" s="14"/>
      <c r="F4" s="15" t="s">
        <v>8</v>
      </c>
      <c r="G4" s="15"/>
      <c r="H4" s="15"/>
      <c r="I4" s="16" t="s">
        <v>9</v>
      </c>
      <c r="J4" s="16"/>
      <c r="K4" s="16"/>
      <c r="L4" s="17" t="s">
        <v>10</v>
      </c>
      <c r="M4" s="17"/>
      <c r="N4" s="17"/>
      <c r="O4" s="17" t="s">
        <v>11</v>
      </c>
      <c r="P4" s="17"/>
      <c r="Q4" s="17"/>
      <c r="R4" s="17" t="s">
        <v>12</v>
      </c>
      <c r="S4" s="17"/>
      <c r="T4" s="17"/>
      <c r="U4" s="17"/>
      <c r="V4" s="17"/>
      <c r="W4" s="17" t="s">
        <v>13</v>
      </c>
      <c r="X4" s="17"/>
      <c r="Y4" s="17"/>
      <c r="Z4" s="17"/>
      <c r="AA4" s="17"/>
      <c r="AB4" s="17"/>
      <c r="AC4" s="18" t="s">
        <v>14</v>
      </c>
      <c r="AD4" s="18"/>
      <c r="AE4" s="18"/>
    </row>
    <row r="5" customFormat="false" ht="36.45" hidden="false" customHeight="false" outlineLevel="0" collapsed="false">
      <c r="B5" s="19" t="s">
        <v>15</v>
      </c>
      <c r="C5" s="19" t="s">
        <v>16</v>
      </c>
      <c r="D5" s="20" t="s">
        <v>17</v>
      </c>
      <c r="E5" s="21" t="s">
        <v>18</v>
      </c>
      <c r="F5" s="19" t="s">
        <v>6</v>
      </c>
      <c r="G5" s="19" t="s">
        <v>19</v>
      </c>
      <c r="H5" s="19" t="s">
        <v>20</v>
      </c>
      <c r="I5" s="22" t="s">
        <v>21</v>
      </c>
      <c r="J5" s="23" t="s">
        <v>22</v>
      </c>
      <c r="K5" s="24" t="s">
        <v>23</v>
      </c>
      <c r="L5" s="25" t="s">
        <v>24</v>
      </c>
      <c r="M5" s="21" t="s">
        <v>25</v>
      </c>
      <c r="N5" s="26" t="s">
        <v>26</v>
      </c>
      <c r="O5" s="25" t="s">
        <v>27</v>
      </c>
      <c r="P5" s="21" t="s">
        <v>28</v>
      </c>
      <c r="Q5" s="26" t="s">
        <v>29</v>
      </c>
      <c r="R5" s="27" t="s">
        <v>30</v>
      </c>
      <c r="S5" s="27" t="s">
        <v>31</v>
      </c>
      <c r="T5" s="21" t="s">
        <v>32</v>
      </c>
      <c r="U5" s="27" t="s">
        <v>33</v>
      </c>
      <c r="V5" s="26" t="s">
        <v>34</v>
      </c>
      <c r="W5" s="20" t="s">
        <v>35</v>
      </c>
      <c r="X5" s="19" t="s">
        <v>36</v>
      </c>
      <c r="Y5" s="19" t="s">
        <v>37</v>
      </c>
      <c r="Z5" s="19" t="s">
        <v>38</v>
      </c>
      <c r="AA5" s="19" t="s">
        <v>39</v>
      </c>
      <c r="AB5" s="24" t="s">
        <v>40</v>
      </c>
      <c r="AC5" s="22" t="s">
        <v>41</v>
      </c>
      <c r="AD5" s="28" t="s">
        <v>42</v>
      </c>
      <c r="AE5" s="28" t="s">
        <v>43</v>
      </c>
    </row>
    <row r="6" s="29" customFormat="true" ht="16.4" hidden="false" customHeight="true" outlineLevel="0" collapsed="false">
      <c r="B6" s="30" t="s">
        <v>44</v>
      </c>
      <c r="C6" s="30" t="s">
        <v>45</v>
      </c>
      <c r="D6" s="31" t="s">
        <v>3</v>
      </c>
      <c r="E6" s="32" t="s">
        <v>46</v>
      </c>
      <c r="F6" s="30" t="n">
        <v>1</v>
      </c>
      <c r="G6" s="30" t="s">
        <v>47</v>
      </c>
      <c r="H6" s="33" t="s">
        <v>48</v>
      </c>
      <c r="I6" s="34" t="s">
        <v>49</v>
      </c>
      <c r="J6" s="35" t="s">
        <v>50</v>
      </c>
      <c r="K6" s="36" t="s">
        <v>51</v>
      </c>
      <c r="L6" s="37" t="s">
        <v>52</v>
      </c>
      <c r="M6" s="38" t="s">
        <v>53</v>
      </c>
      <c r="N6" s="39" t="s">
        <v>54</v>
      </c>
      <c r="O6" s="40" t="s">
        <v>55</v>
      </c>
      <c r="P6" s="41" t="s">
        <v>56</v>
      </c>
      <c r="Q6" s="42" t="s">
        <v>57</v>
      </c>
      <c r="R6" s="43"/>
      <c r="S6" s="44"/>
      <c r="T6" s="45"/>
      <c r="U6" s="45"/>
      <c r="V6" s="45"/>
      <c r="W6" s="46" t="n">
        <f aca="false">TRUE()</f>
        <v>1</v>
      </c>
      <c r="X6" s="47" t="n">
        <f aca="false">TRUE()</f>
        <v>1</v>
      </c>
      <c r="Y6" s="47" t="n">
        <f aca="false">FALSE()</f>
        <v>0</v>
      </c>
      <c r="Z6" s="47" t="n">
        <f aca="false">FALSE()</f>
        <v>0</v>
      </c>
      <c r="AA6" s="47" t="n">
        <f aca="false">TRUE()</f>
        <v>1</v>
      </c>
      <c r="AB6" s="48" t="n">
        <f aca="false">FALSE()</f>
        <v>0</v>
      </c>
      <c r="AC6" s="49"/>
      <c r="AD6" s="42"/>
      <c r="AE6" s="42"/>
    </row>
    <row r="7" customFormat="false" ht="20.45" hidden="false" customHeight="true" outlineLevel="0" collapsed="false">
      <c r="B7" s="50" t="n">
        <v>1</v>
      </c>
      <c r="C7" s="51" t="s">
        <v>45</v>
      </c>
      <c r="D7" s="52" t="s">
        <v>3</v>
      </c>
      <c r="E7" s="53" t="s">
        <v>477</v>
      </c>
      <c r="F7" s="13"/>
      <c r="G7" s="13"/>
      <c r="H7" s="13"/>
      <c r="I7" s="88" t="s">
        <v>49</v>
      </c>
      <c r="J7" s="89" t="s">
        <v>50</v>
      </c>
      <c r="K7" s="50"/>
      <c r="L7" s="56" t="s">
        <v>478</v>
      </c>
      <c r="M7" s="53" t="s">
        <v>329</v>
      </c>
      <c r="N7" s="86" t="s">
        <v>479</v>
      </c>
      <c r="O7" s="56"/>
      <c r="P7" s="29"/>
      <c r="Q7" s="57"/>
      <c r="R7" s="58"/>
      <c r="U7" s="12"/>
      <c r="V7" s="59"/>
      <c r="W7" s="60"/>
      <c r="X7" s="61"/>
      <c r="Y7" s="61"/>
      <c r="Z7" s="61"/>
      <c r="AA7" s="61"/>
      <c r="AB7" s="62"/>
      <c r="AC7" s="63"/>
    </row>
    <row r="8" customFormat="false" ht="32.05" hidden="false" customHeight="true" outlineLevel="0" collapsed="false">
      <c r="B8" s="50" t="n">
        <v>1</v>
      </c>
      <c r="C8" s="51" t="s">
        <v>45</v>
      </c>
      <c r="D8" s="52" t="s">
        <v>3</v>
      </c>
      <c r="E8" s="53" t="s">
        <v>480</v>
      </c>
      <c r="F8" s="13"/>
      <c r="G8" s="13"/>
      <c r="H8" s="13"/>
      <c r="I8" s="88" t="s">
        <v>481</v>
      </c>
      <c r="J8" s="89" t="s">
        <v>164</v>
      </c>
      <c r="K8" s="50"/>
      <c r="L8" s="56" t="s">
        <v>482</v>
      </c>
      <c r="M8" s="53" t="s">
        <v>108</v>
      </c>
      <c r="N8" s="73" t="s">
        <v>167</v>
      </c>
      <c r="O8" s="75" t="s">
        <v>483</v>
      </c>
      <c r="P8" s="29"/>
      <c r="Q8" s="57"/>
      <c r="R8" s="58"/>
      <c r="U8" s="12"/>
      <c r="V8" s="59"/>
      <c r="W8" s="60"/>
      <c r="X8" s="61"/>
      <c r="Y8" s="61"/>
      <c r="Z8" s="61"/>
      <c r="AA8" s="61"/>
      <c r="AB8" s="62"/>
      <c r="AC8" s="63"/>
    </row>
    <row r="9" customFormat="false" ht="20.45" hidden="false" customHeight="true" outlineLevel="0" collapsed="false">
      <c r="B9" s="90" t="n">
        <v>1</v>
      </c>
      <c r="C9" s="91" t="s">
        <v>45</v>
      </c>
      <c r="D9" s="92" t="s">
        <v>62</v>
      </c>
      <c r="E9" s="93" t="s">
        <v>484</v>
      </c>
      <c r="F9" s="90"/>
      <c r="G9" s="90"/>
      <c r="H9" s="90"/>
      <c r="I9" s="94" t="s">
        <v>485</v>
      </c>
      <c r="J9" s="95" t="s">
        <v>164</v>
      </c>
      <c r="K9" s="90"/>
      <c r="L9" s="96" t="s">
        <v>486</v>
      </c>
      <c r="M9" s="93"/>
      <c r="N9" s="97"/>
      <c r="O9" s="96"/>
      <c r="P9" s="98"/>
      <c r="Q9" s="96"/>
      <c r="R9" s="58"/>
      <c r="U9" s="12"/>
      <c r="V9" s="59"/>
      <c r="W9" s="60"/>
      <c r="X9" s="61"/>
      <c r="Y9" s="61"/>
      <c r="Z9" s="61"/>
      <c r="AA9" s="61"/>
      <c r="AB9" s="62"/>
      <c r="AC9" s="63"/>
    </row>
    <row r="10" customFormat="false" ht="20.45" hidden="false" customHeight="true" outlineLevel="0" collapsed="false">
      <c r="B10" s="50" t="n">
        <v>1</v>
      </c>
      <c r="C10" s="51" t="s">
        <v>45</v>
      </c>
      <c r="D10" s="52" t="s">
        <v>3</v>
      </c>
      <c r="E10" s="53" t="s">
        <v>487</v>
      </c>
      <c r="F10" s="13"/>
      <c r="G10" s="13"/>
      <c r="H10" s="13"/>
      <c r="I10" s="88" t="s">
        <v>243</v>
      </c>
      <c r="J10" s="89" t="s">
        <v>50</v>
      </c>
      <c r="K10" s="50"/>
      <c r="L10" s="56" t="s">
        <v>256</v>
      </c>
      <c r="M10" s="53" t="s">
        <v>329</v>
      </c>
      <c r="N10" s="86" t="s">
        <v>479</v>
      </c>
      <c r="O10" s="56"/>
      <c r="P10" s="29"/>
      <c r="Q10" s="57"/>
      <c r="R10" s="58"/>
      <c r="U10" s="12"/>
      <c r="V10" s="59"/>
      <c r="W10" s="60"/>
      <c r="X10" s="61"/>
      <c r="Y10" s="61"/>
      <c r="Z10" s="61"/>
      <c r="AA10" s="61"/>
      <c r="AB10" s="62"/>
      <c r="AC10" s="63"/>
    </row>
    <row r="11" customFormat="false" ht="32.05" hidden="false" customHeight="true" outlineLevel="0" collapsed="false">
      <c r="B11" s="50" t="n">
        <v>1</v>
      </c>
      <c r="C11" s="51" t="s">
        <v>45</v>
      </c>
      <c r="D11" s="52" t="s">
        <v>3</v>
      </c>
      <c r="E11" s="53" t="s">
        <v>488</v>
      </c>
      <c r="F11" s="13"/>
      <c r="G11" s="13"/>
      <c r="H11" s="13"/>
      <c r="I11" s="88" t="s">
        <v>176</v>
      </c>
      <c r="J11" s="89" t="s">
        <v>164</v>
      </c>
      <c r="K11" s="50"/>
      <c r="L11" s="56" t="s">
        <v>489</v>
      </c>
      <c r="M11" s="53" t="s">
        <v>108</v>
      </c>
      <c r="N11" s="73" t="s">
        <v>167</v>
      </c>
      <c r="O11" s="75" t="s">
        <v>490</v>
      </c>
      <c r="P11" s="29"/>
      <c r="Q11" s="57"/>
      <c r="R11" s="58"/>
      <c r="U11" s="12"/>
      <c r="V11" s="59"/>
      <c r="W11" s="60"/>
      <c r="X11" s="61"/>
      <c r="Y11" s="61"/>
      <c r="Z11" s="61"/>
      <c r="AA11" s="61"/>
      <c r="AB11" s="62"/>
      <c r="AC11" s="63"/>
    </row>
    <row r="12" customFormat="false" ht="32.05" hidden="false" customHeight="true" outlineLevel="0" collapsed="false">
      <c r="B12" s="50" t="n">
        <v>1</v>
      </c>
      <c r="C12" s="51" t="s">
        <v>45</v>
      </c>
      <c r="D12" s="52" t="s">
        <v>3</v>
      </c>
      <c r="E12" s="53" t="s">
        <v>480</v>
      </c>
      <c r="F12" s="13"/>
      <c r="G12" s="13"/>
      <c r="H12" s="13"/>
      <c r="I12" s="88" t="s">
        <v>481</v>
      </c>
      <c r="J12" s="89" t="s">
        <v>491</v>
      </c>
      <c r="K12" s="50"/>
      <c r="L12" s="56" t="s">
        <v>482</v>
      </c>
      <c r="M12" s="53" t="s">
        <v>108</v>
      </c>
      <c r="N12" s="73" t="s">
        <v>167</v>
      </c>
      <c r="O12" s="56"/>
      <c r="P12" s="29"/>
      <c r="Q12" s="57"/>
      <c r="R12" s="58"/>
      <c r="U12" s="12"/>
      <c r="V12" s="59"/>
      <c r="W12" s="60"/>
      <c r="X12" s="61"/>
      <c r="Y12" s="61"/>
      <c r="Z12" s="61"/>
      <c r="AA12" s="61"/>
      <c r="AB12" s="62"/>
      <c r="AC12" s="63"/>
    </row>
    <row r="13" customFormat="false" ht="32.05" hidden="false" customHeight="true" outlineLevel="0" collapsed="false">
      <c r="B13" s="50" t="n">
        <v>1</v>
      </c>
      <c r="C13" s="51" t="s">
        <v>45</v>
      </c>
      <c r="D13" s="52" t="s">
        <v>3</v>
      </c>
      <c r="E13" s="53" t="s">
        <v>492</v>
      </c>
      <c r="F13" s="13"/>
      <c r="G13" s="13"/>
      <c r="H13" s="13"/>
      <c r="I13" s="88" t="s">
        <v>163</v>
      </c>
      <c r="J13" s="89" t="s">
        <v>164</v>
      </c>
      <c r="K13" s="50"/>
      <c r="L13" s="56" t="s">
        <v>168</v>
      </c>
      <c r="M13" s="53" t="s">
        <v>108</v>
      </c>
      <c r="N13" s="73" t="s">
        <v>167</v>
      </c>
      <c r="O13" s="75" t="s">
        <v>493</v>
      </c>
      <c r="P13" s="29"/>
      <c r="Q13" s="57"/>
      <c r="R13" s="58"/>
      <c r="U13" s="12"/>
      <c r="V13" s="59"/>
      <c r="W13" s="60"/>
      <c r="X13" s="61"/>
      <c r="Y13" s="61"/>
      <c r="Z13" s="61"/>
      <c r="AA13" s="61"/>
      <c r="AB13" s="62"/>
      <c r="AC13" s="63"/>
    </row>
    <row r="14" customFormat="false" ht="32.05" hidden="false" customHeight="true" outlineLevel="0" collapsed="false">
      <c r="B14" s="50" t="n">
        <v>1</v>
      </c>
      <c r="C14" s="51" t="s">
        <v>45</v>
      </c>
      <c r="D14" s="52" t="s">
        <v>3</v>
      </c>
      <c r="E14" s="53" t="s">
        <v>494</v>
      </c>
      <c r="F14" s="13"/>
      <c r="G14" s="13"/>
      <c r="H14" s="13"/>
      <c r="I14" s="88" t="s">
        <v>200</v>
      </c>
      <c r="J14" s="89" t="s">
        <v>164</v>
      </c>
      <c r="K14" s="50"/>
      <c r="L14" s="56" t="s">
        <v>495</v>
      </c>
      <c r="M14" s="53" t="s">
        <v>108</v>
      </c>
      <c r="N14" s="73" t="s">
        <v>167</v>
      </c>
      <c r="O14" s="75" t="s">
        <v>201</v>
      </c>
      <c r="P14" s="29"/>
      <c r="Q14" s="57"/>
      <c r="R14" s="58"/>
      <c r="U14" s="12"/>
      <c r="V14" s="59"/>
      <c r="W14" s="60"/>
      <c r="X14" s="61"/>
      <c r="Y14" s="61"/>
      <c r="Z14" s="61"/>
      <c r="AA14" s="61"/>
      <c r="AB14" s="62"/>
      <c r="AC14" s="63"/>
    </row>
    <row r="15" customFormat="false" ht="20.45" hidden="false" customHeight="true" outlineLevel="0" collapsed="false">
      <c r="B15" s="50" t="n">
        <v>1</v>
      </c>
      <c r="C15" s="51" t="s">
        <v>45</v>
      </c>
      <c r="D15" s="52" t="s">
        <v>3</v>
      </c>
      <c r="E15" s="53" t="s">
        <v>496</v>
      </c>
      <c r="F15" s="13"/>
      <c r="G15" s="13"/>
      <c r="H15" s="13"/>
      <c r="I15" s="88" t="s">
        <v>497</v>
      </c>
      <c r="J15" s="89" t="s">
        <v>50</v>
      </c>
      <c r="K15" s="50"/>
      <c r="L15" s="56" t="s">
        <v>498</v>
      </c>
      <c r="M15" s="53" t="s">
        <v>329</v>
      </c>
      <c r="N15" s="86" t="s">
        <v>479</v>
      </c>
      <c r="O15" s="56"/>
      <c r="P15" s="29"/>
      <c r="Q15" s="57"/>
      <c r="R15" s="58"/>
      <c r="U15" s="12"/>
      <c r="V15" s="59"/>
      <c r="W15" s="60"/>
      <c r="X15" s="61"/>
      <c r="Y15" s="61"/>
      <c r="Z15" s="61"/>
      <c r="AA15" s="61"/>
      <c r="AB15" s="62"/>
      <c r="AC15" s="63"/>
    </row>
    <row r="16" customFormat="false" ht="20.45" hidden="false" customHeight="true" outlineLevel="0" collapsed="false">
      <c r="B16" s="90" t="n">
        <v>1</v>
      </c>
      <c r="C16" s="91" t="s">
        <v>45</v>
      </c>
      <c r="D16" s="92" t="s">
        <v>62</v>
      </c>
      <c r="E16" s="93" t="s">
        <v>484</v>
      </c>
      <c r="F16" s="90"/>
      <c r="G16" s="90"/>
      <c r="H16" s="90"/>
      <c r="I16" s="94" t="s">
        <v>485</v>
      </c>
      <c r="J16" s="95" t="s">
        <v>491</v>
      </c>
      <c r="K16" s="90"/>
      <c r="L16" s="96" t="s">
        <v>486</v>
      </c>
      <c r="M16" s="93"/>
      <c r="N16" s="97"/>
      <c r="O16" s="96"/>
      <c r="P16" s="98"/>
      <c r="Q16" s="96"/>
      <c r="R16" s="58"/>
      <c r="U16" s="12"/>
      <c r="V16" s="59"/>
      <c r="W16" s="60"/>
      <c r="X16" s="61"/>
      <c r="Y16" s="61"/>
      <c r="Z16" s="61"/>
      <c r="AA16" s="61"/>
      <c r="AB16" s="62"/>
      <c r="AC16" s="63"/>
    </row>
    <row r="17" customFormat="false" ht="32.05" hidden="false" customHeight="true" outlineLevel="0" collapsed="false">
      <c r="B17" s="50" t="n">
        <v>1</v>
      </c>
      <c r="C17" s="51" t="s">
        <v>45</v>
      </c>
      <c r="D17" s="52" t="s">
        <v>3</v>
      </c>
      <c r="E17" s="53" t="s">
        <v>499</v>
      </c>
      <c r="F17" s="13"/>
      <c r="G17" s="13"/>
      <c r="H17" s="13"/>
      <c r="I17" s="88" t="s">
        <v>205</v>
      </c>
      <c r="J17" s="89" t="s">
        <v>164</v>
      </c>
      <c r="K17" s="50"/>
      <c r="L17" s="56" t="s">
        <v>500</v>
      </c>
      <c r="M17" s="53" t="s">
        <v>108</v>
      </c>
      <c r="N17" s="73" t="s">
        <v>167</v>
      </c>
      <c r="O17" s="75" t="s">
        <v>208</v>
      </c>
      <c r="P17" s="29"/>
      <c r="Q17" s="57"/>
      <c r="R17" s="58"/>
      <c r="U17" s="12"/>
      <c r="V17" s="59"/>
      <c r="W17" s="60"/>
      <c r="X17" s="61"/>
      <c r="Y17" s="61"/>
      <c r="Z17" s="61"/>
      <c r="AA17" s="61"/>
      <c r="AB17" s="62"/>
      <c r="AC17" s="63"/>
    </row>
    <row r="18" customFormat="false" ht="32.05" hidden="false" customHeight="true" outlineLevel="0" collapsed="false">
      <c r="B18" s="50" t="n">
        <v>1</v>
      </c>
      <c r="C18" s="51" t="s">
        <v>45</v>
      </c>
      <c r="D18" s="52" t="s">
        <v>3</v>
      </c>
      <c r="E18" s="53" t="s">
        <v>488</v>
      </c>
      <c r="F18" s="13"/>
      <c r="G18" s="13"/>
      <c r="H18" s="13"/>
      <c r="I18" s="88" t="s">
        <v>176</v>
      </c>
      <c r="J18" s="89" t="s">
        <v>491</v>
      </c>
      <c r="K18" s="50"/>
      <c r="L18" s="56" t="s">
        <v>489</v>
      </c>
      <c r="M18" s="53" t="s">
        <v>108</v>
      </c>
      <c r="N18" s="73" t="s">
        <v>167</v>
      </c>
      <c r="O18" s="56"/>
      <c r="P18" s="29"/>
      <c r="Q18" s="57"/>
      <c r="R18" s="58"/>
      <c r="U18" s="12"/>
      <c r="V18" s="59"/>
      <c r="W18" s="60"/>
      <c r="X18" s="61"/>
      <c r="Y18" s="61"/>
      <c r="Z18" s="61"/>
      <c r="AA18" s="61"/>
      <c r="AB18" s="62"/>
      <c r="AC18" s="63"/>
    </row>
    <row r="19" customFormat="false" ht="20.45" hidden="false" customHeight="true" outlineLevel="0" collapsed="false">
      <c r="B19" s="50" t="n">
        <v>1</v>
      </c>
      <c r="C19" s="51" t="s">
        <v>45</v>
      </c>
      <c r="D19" s="52" t="s">
        <v>3</v>
      </c>
      <c r="E19" s="53" t="s">
        <v>501</v>
      </c>
      <c r="F19" s="13"/>
      <c r="G19" s="13"/>
      <c r="H19" s="13"/>
      <c r="I19" s="88" t="s">
        <v>271</v>
      </c>
      <c r="J19" s="89" t="s">
        <v>50</v>
      </c>
      <c r="K19" s="50"/>
      <c r="L19" s="56" t="s">
        <v>502</v>
      </c>
      <c r="M19" s="53" t="s">
        <v>255</v>
      </c>
      <c r="N19" s="86" t="s">
        <v>503</v>
      </c>
      <c r="O19" s="56"/>
      <c r="P19" s="29"/>
      <c r="Q19" s="57"/>
      <c r="R19" s="58"/>
      <c r="U19" s="12"/>
      <c r="V19" s="59"/>
      <c r="W19" s="60"/>
      <c r="X19" s="61"/>
      <c r="Y19" s="61"/>
      <c r="Z19" s="61"/>
      <c r="AA19" s="61"/>
      <c r="AB19" s="62"/>
      <c r="AC19" s="63"/>
    </row>
    <row r="20" customFormat="false" ht="32.05" hidden="false" customHeight="true" outlineLevel="0" collapsed="false">
      <c r="B20" s="50" t="n">
        <v>1</v>
      </c>
      <c r="C20" s="51" t="s">
        <v>45</v>
      </c>
      <c r="D20" s="52" t="s">
        <v>3</v>
      </c>
      <c r="E20" s="53" t="s">
        <v>492</v>
      </c>
      <c r="F20" s="13"/>
      <c r="G20" s="13"/>
      <c r="H20" s="13"/>
      <c r="I20" s="88" t="s">
        <v>163</v>
      </c>
      <c r="J20" s="89" t="s">
        <v>491</v>
      </c>
      <c r="K20" s="50"/>
      <c r="L20" s="56" t="s">
        <v>168</v>
      </c>
      <c r="M20" s="53" t="s">
        <v>108</v>
      </c>
      <c r="N20" s="73" t="s">
        <v>167</v>
      </c>
      <c r="O20" s="56"/>
      <c r="P20" s="29"/>
      <c r="Q20" s="57"/>
      <c r="R20" s="58"/>
      <c r="U20" s="12"/>
      <c r="V20" s="59"/>
      <c r="W20" s="60"/>
      <c r="X20" s="61"/>
      <c r="Y20" s="61"/>
      <c r="Z20" s="61"/>
      <c r="AA20" s="61"/>
      <c r="AB20" s="62"/>
      <c r="AC20" s="63"/>
    </row>
    <row r="21" customFormat="false" ht="32.05" hidden="false" customHeight="true" outlineLevel="0" collapsed="false">
      <c r="B21" s="50" t="n">
        <v>1</v>
      </c>
      <c r="C21" s="51" t="s">
        <v>45</v>
      </c>
      <c r="D21" s="52" t="s">
        <v>3</v>
      </c>
      <c r="E21" s="53" t="s">
        <v>504</v>
      </c>
      <c r="F21" s="13"/>
      <c r="G21" s="13"/>
      <c r="H21" s="13"/>
      <c r="I21" s="88" t="s">
        <v>179</v>
      </c>
      <c r="J21" s="89" t="s">
        <v>164</v>
      </c>
      <c r="K21" s="50"/>
      <c r="L21" s="56" t="s">
        <v>505</v>
      </c>
      <c r="M21" s="53" t="s">
        <v>108</v>
      </c>
      <c r="N21" s="73" t="s">
        <v>167</v>
      </c>
      <c r="O21" s="75" t="s">
        <v>181</v>
      </c>
      <c r="P21" s="29"/>
      <c r="Q21" s="57"/>
      <c r="R21" s="58"/>
      <c r="U21" s="12"/>
      <c r="V21" s="59"/>
      <c r="W21" s="60"/>
      <c r="X21" s="61"/>
      <c r="Y21" s="61"/>
      <c r="Z21" s="61"/>
      <c r="AA21" s="61"/>
      <c r="AB21" s="62"/>
      <c r="AC21" s="63"/>
    </row>
    <row r="22" customFormat="false" ht="32.05" hidden="false" customHeight="true" outlineLevel="0" collapsed="false">
      <c r="B22" s="50" t="n">
        <v>1</v>
      </c>
      <c r="C22" s="51" t="s">
        <v>45</v>
      </c>
      <c r="D22" s="52" t="s">
        <v>3</v>
      </c>
      <c r="E22" s="53" t="s">
        <v>494</v>
      </c>
      <c r="F22" s="13"/>
      <c r="G22" s="13"/>
      <c r="H22" s="13"/>
      <c r="I22" s="88" t="s">
        <v>200</v>
      </c>
      <c r="J22" s="89" t="s">
        <v>491</v>
      </c>
      <c r="K22" s="50"/>
      <c r="L22" s="56" t="s">
        <v>495</v>
      </c>
      <c r="M22" s="53" t="s">
        <v>108</v>
      </c>
      <c r="N22" s="73" t="s">
        <v>167</v>
      </c>
      <c r="O22" s="56"/>
      <c r="P22" s="29"/>
      <c r="Q22" s="57"/>
      <c r="R22" s="58"/>
      <c r="U22" s="12"/>
      <c r="V22" s="59"/>
      <c r="W22" s="60"/>
      <c r="X22" s="61"/>
      <c r="Y22" s="61"/>
      <c r="Z22" s="61"/>
      <c r="AA22" s="61"/>
      <c r="AB22" s="62"/>
      <c r="AC22" s="63"/>
    </row>
    <row r="23" customFormat="false" ht="32.05" hidden="false" customHeight="true" outlineLevel="0" collapsed="false">
      <c r="B23" s="50" t="n">
        <v>1</v>
      </c>
      <c r="C23" s="51" t="s">
        <v>45</v>
      </c>
      <c r="D23" s="52" t="s">
        <v>3</v>
      </c>
      <c r="E23" s="53" t="s">
        <v>506</v>
      </c>
      <c r="F23" s="13"/>
      <c r="G23" s="13"/>
      <c r="H23" s="13"/>
      <c r="I23" s="88" t="s">
        <v>183</v>
      </c>
      <c r="J23" s="89" t="s">
        <v>164</v>
      </c>
      <c r="K23" s="50"/>
      <c r="L23" s="56" t="s">
        <v>507</v>
      </c>
      <c r="M23" s="53" t="s">
        <v>108</v>
      </c>
      <c r="N23" s="73" t="s">
        <v>167</v>
      </c>
      <c r="O23" s="75" t="s">
        <v>185</v>
      </c>
      <c r="P23" s="29"/>
      <c r="Q23" s="57"/>
      <c r="R23" s="58"/>
      <c r="U23" s="12"/>
      <c r="V23" s="59"/>
      <c r="W23" s="60"/>
      <c r="X23" s="61"/>
      <c r="Y23" s="61"/>
      <c r="Z23" s="61"/>
      <c r="AA23" s="61"/>
      <c r="AB23" s="62"/>
      <c r="AC23" s="63"/>
    </row>
    <row r="24" customFormat="false" ht="20.45" hidden="false" customHeight="true" outlineLevel="0" collapsed="false">
      <c r="B24" s="50" t="n">
        <v>1</v>
      </c>
      <c r="C24" s="51" t="s">
        <v>45</v>
      </c>
      <c r="D24" s="52" t="s">
        <v>3</v>
      </c>
      <c r="E24" s="53" t="s">
        <v>508</v>
      </c>
      <c r="F24" s="13"/>
      <c r="G24" s="13"/>
      <c r="H24" s="13"/>
      <c r="I24" s="88" t="s">
        <v>89</v>
      </c>
      <c r="J24" s="89" t="s">
        <v>50</v>
      </c>
      <c r="K24" s="50"/>
      <c r="L24" s="56" t="s">
        <v>509</v>
      </c>
      <c r="M24" s="53" t="s">
        <v>329</v>
      </c>
      <c r="N24" s="86" t="s">
        <v>479</v>
      </c>
      <c r="O24" s="56"/>
      <c r="P24" s="29"/>
      <c r="Q24" s="57"/>
      <c r="R24" s="58"/>
      <c r="U24" s="12"/>
      <c r="V24" s="59"/>
      <c r="W24" s="60"/>
      <c r="X24" s="61"/>
      <c r="Y24" s="61"/>
      <c r="Z24" s="61"/>
      <c r="AA24" s="61"/>
      <c r="AB24" s="62"/>
      <c r="AC24" s="63"/>
    </row>
    <row r="25" customFormat="false" ht="32.05" hidden="false" customHeight="true" outlineLevel="0" collapsed="false">
      <c r="B25" s="50" t="n">
        <v>1</v>
      </c>
      <c r="C25" s="51" t="s">
        <v>45</v>
      </c>
      <c r="D25" s="52" t="s">
        <v>3</v>
      </c>
      <c r="E25" s="53" t="s">
        <v>499</v>
      </c>
      <c r="F25" s="13"/>
      <c r="G25" s="13"/>
      <c r="H25" s="13"/>
      <c r="I25" s="88" t="s">
        <v>205</v>
      </c>
      <c r="J25" s="89" t="s">
        <v>491</v>
      </c>
      <c r="K25" s="50"/>
      <c r="L25" s="56" t="s">
        <v>500</v>
      </c>
      <c r="M25" s="53" t="s">
        <v>108</v>
      </c>
      <c r="N25" s="73" t="s">
        <v>167</v>
      </c>
      <c r="O25" s="56"/>
      <c r="P25" s="29"/>
      <c r="Q25" s="57"/>
      <c r="R25" s="58"/>
      <c r="U25" s="12"/>
      <c r="V25" s="59"/>
      <c r="W25" s="60"/>
      <c r="X25" s="61"/>
      <c r="Y25" s="61"/>
      <c r="Z25" s="61"/>
      <c r="AA25" s="61"/>
      <c r="AB25" s="62"/>
      <c r="AC25" s="63"/>
    </row>
    <row r="26" customFormat="false" ht="32.05" hidden="false" customHeight="true" outlineLevel="0" collapsed="false">
      <c r="B26" s="50" t="n">
        <v>1</v>
      </c>
      <c r="C26" s="51" t="s">
        <v>45</v>
      </c>
      <c r="D26" s="52" t="s">
        <v>3</v>
      </c>
      <c r="E26" s="53" t="s">
        <v>510</v>
      </c>
      <c r="F26" s="13"/>
      <c r="G26" s="13"/>
      <c r="H26" s="13"/>
      <c r="I26" s="88" t="s">
        <v>195</v>
      </c>
      <c r="J26" s="89" t="s">
        <v>164</v>
      </c>
      <c r="K26" s="50"/>
      <c r="L26" s="56" t="s">
        <v>511</v>
      </c>
      <c r="M26" s="53" t="s">
        <v>108</v>
      </c>
      <c r="N26" s="73" t="s">
        <v>167</v>
      </c>
      <c r="O26" s="75" t="s">
        <v>198</v>
      </c>
      <c r="P26" s="29"/>
      <c r="Q26" s="57"/>
      <c r="R26" s="58"/>
      <c r="U26" s="12"/>
      <c r="V26" s="59"/>
      <c r="W26" s="60"/>
      <c r="X26" s="61"/>
      <c r="Y26" s="61"/>
      <c r="Z26" s="61"/>
      <c r="AA26" s="61"/>
      <c r="AB26" s="62"/>
      <c r="AC26" s="63"/>
    </row>
    <row r="27" customFormat="false" ht="32.05" hidden="false" customHeight="true" outlineLevel="0" collapsed="false">
      <c r="B27" s="50" t="n">
        <v>1</v>
      </c>
      <c r="C27" s="51" t="s">
        <v>45</v>
      </c>
      <c r="D27" s="52" t="s">
        <v>3</v>
      </c>
      <c r="E27" s="53" t="s">
        <v>512</v>
      </c>
      <c r="F27" s="13"/>
      <c r="G27" s="13"/>
      <c r="H27" s="13"/>
      <c r="I27" s="88" t="s">
        <v>219</v>
      </c>
      <c r="J27" s="89" t="s">
        <v>164</v>
      </c>
      <c r="K27" s="50"/>
      <c r="L27" s="56" t="s">
        <v>513</v>
      </c>
      <c r="M27" s="53" t="s">
        <v>108</v>
      </c>
      <c r="N27" s="73" t="s">
        <v>167</v>
      </c>
      <c r="O27" s="75" t="s">
        <v>220</v>
      </c>
      <c r="P27" s="29"/>
      <c r="Q27" s="57"/>
      <c r="R27" s="58"/>
      <c r="U27" s="12"/>
      <c r="V27" s="59"/>
      <c r="W27" s="60"/>
      <c r="X27" s="61"/>
      <c r="Y27" s="61"/>
      <c r="Z27" s="61"/>
      <c r="AA27" s="61"/>
      <c r="AB27" s="62"/>
      <c r="AC27" s="63"/>
    </row>
    <row r="28" customFormat="false" ht="20.45" hidden="false" customHeight="true" outlineLevel="0" collapsed="false">
      <c r="B28" s="50" t="n">
        <v>1</v>
      </c>
      <c r="C28" s="51" t="s">
        <v>45</v>
      </c>
      <c r="D28" s="52" t="s">
        <v>3</v>
      </c>
      <c r="E28" s="53" t="s">
        <v>514</v>
      </c>
      <c r="F28" s="13"/>
      <c r="G28" s="13"/>
      <c r="H28" s="13"/>
      <c r="I28" s="88" t="s">
        <v>305</v>
      </c>
      <c r="J28" s="89" t="s">
        <v>50</v>
      </c>
      <c r="K28" s="50"/>
      <c r="L28" s="56" t="s">
        <v>515</v>
      </c>
      <c r="M28" s="53" t="s">
        <v>329</v>
      </c>
      <c r="N28" s="86" t="s">
        <v>479</v>
      </c>
      <c r="O28" s="56"/>
      <c r="P28" s="29"/>
      <c r="Q28" s="57"/>
      <c r="R28" s="58"/>
      <c r="U28" s="12"/>
      <c r="V28" s="59"/>
      <c r="W28" s="60"/>
      <c r="X28" s="61"/>
      <c r="Y28" s="61"/>
      <c r="Z28" s="61"/>
      <c r="AA28" s="61"/>
      <c r="AB28" s="62"/>
      <c r="AC28" s="63"/>
    </row>
    <row r="29" customFormat="false" ht="32.05" hidden="false" customHeight="true" outlineLevel="0" collapsed="false">
      <c r="B29" s="50" t="n">
        <v>1</v>
      </c>
      <c r="C29" s="51" t="s">
        <v>45</v>
      </c>
      <c r="D29" s="52" t="s">
        <v>3</v>
      </c>
      <c r="E29" s="53" t="s">
        <v>504</v>
      </c>
      <c r="F29" s="13"/>
      <c r="G29" s="13"/>
      <c r="H29" s="13"/>
      <c r="I29" s="88" t="s">
        <v>179</v>
      </c>
      <c r="J29" s="89" t="s">
        <v>491</v>
      </c>
      <c r="K29" s="50"/>
      <c r="L29" s="56" t="s">
        <v>505</v>
      </c>
      <c r="M29" s="53" t="s">
        <v>108</v>
      </c>
      <c r="N29" s="73" t="s">
        <v>167</v>
      </c>
      <c r="O29" s="75"/>
      <c r="P29" s="29"/>
      <c r="Q29" s="57"/>
      <c r="R29" s="58"/>
      <c r="U29" s="12"/>
      <c r="V29" s="59"/>
      <c r="W29" s="60"/>
      <c r="X29" s="61"/>
      <c r="Y29" s="61"/>
      <c r="Z29" s="61"/>
      <c r="AA29" s="61"/>
      <c r="AB29" s="62"/>
      <c r="AC29" s="63"/>
    </row>
    <row r="30" customFormat="false" ht="32.05" hidden="false" customHeight="true" outlineLevel="0" collapsed="false">
      <c r="B30" s="50" t="n">
        <v>1</v>
      </c>
      <c r="C30" s="51" t="s">
        <v>45</v>
      </c>
      <c r="D30" s="52" t="s">
        <v>3</v>
      </c>
      <c r="E30" s="53" t="s">
        <v>516</v>
      </c>
      <c r="F30" s="13"/>
      <c r="G30" s="13"/>
      <c r="H30" s="13"/>
      <c r="I30" s="88" t="s">
        <v>222</v>
      </c>
      <c r="J30" s="89" t="s">
        <v>164</v>
      </c>
      <c r="K30" s="50"/>
      <c r="L30" s="56" t="s">
        <v>517</v>
      </c>
      <c r="M30" s="53" t="s">
        <v>108</v>
      </c>
      <c r="N30" s="73" t="s">
        <v>167</v>
      </c>
      <c r="O30" s="75" t="s">
        <v>223</v>
      </c>
      <c r="P30" s="29"/>
      <c r="Q30" s="57"/>
      <c r="R30" s="58"/>
      <c r="U30" s="12"/>
      <c r="V30" s="59"/>
      <c r="W30" s="60"/>
      <c r="X30" s="61"/>
      <c r="Y30" s="61"/>
      <c r="Z30" s="61"/>
      <c r="AA30" s="61"/>
      <c r="AB30" s="62"/>
      <c r="AC30" s="63"/>
    </row>
    <row r="31" customFormat="false" ht="32.05" hidden="false" customHeight="true" outlineLevel="0" collapsed="false">
      <c r="B31" s="50" t="n">
        <v>1</v>
      </c>
      <c r="C31" s="51" t="s">
        <v>45</v>
      </c>
      <c r="D31" s="52" t="s">
        <v>3</v>
      </c>
      <c r="E31" s="53" t="s">
        <v>506</v>
      </c>
      <c r="F31" s="13"/>
      <c r="G31" s="13"/>
      <c r="H31" s="13"/>
      <c r="I31" s="88" t="s">
        <v>183</v>
      </c>
      <c r="J31" s="89" t="s">
        <v>491</v>
      </c>
      <c r="K31" s="50"/>
      <c r="L31" s="56" t="s">
        <v>507</v>
      </c>
      <c r="M31" s="53" t="s">
        <v>108</v>
      </c>
      <c r="N31" s="73" t="s">
        <v>167</v>
      </c>
      <c r="O31" s="75"/>
      <c r="P31" s="29"/>
      <c r="Q31" s="57"/>
      <c r="R31" s="58"/>
      <c r="U31" s="12"/>
      <c r="V31" s="59"/>
      <c r="W31" s="60"/>
      <c r="X31" s="61"/>
      <c r="Y31" s="61"/>
      <c r="Z31" s="61"/>
      <c r="AA31" s="61"/>
      <c r="AB31" s="62"/>
      <c r="AC31" s="63"/>
    </row>
    <row r="32" customFormat="false" ht="32.05" hidden="false" customHeight="true" outlineLevel="0" collapsed="false">
      <c r="B32" s="50" t="n">
        <v>1</v>
      </c>
      <c r="C32" s="51" t="s">
        <v>45</v>
      </c>
      <c r="D32" s="52" t="s">
        <v>3</v>
      </c>
      <c r="E32" s="53" t="s">
        <v>518</v>
      </c>
      <c r="F32" s="13"/>
      <c r="G32" s="13"/>
      <c r="H32" s="13"/>
      <c r="I32" s="88" t="s">
        <v>225</v>
      </c>
      <c r="J32" s="89" t="s">
        <v>164</v>
      </c>
      <c r="K32" s="50"/>
      <c r="L32" s="56" t="s">
        <v>519</v>
      </c>
      <c r="M32" s="53" t="s">
        <v>108</v>
      </c>
      <c r="N32" s="73" t="s">
        <v>167</v>
      </c>
      <c r="O32" s="75" t="s">
        <v>226</v>
      </c>
      <c r="P32" s="29"/>
      <c r="Q32" s="57"/>
      <c r="R32" s="58"/>
      <c r="U32" s="12"/>
      <c r="V32" s="59"/>
      <c r="W32" s="60"/>
      <c r="X32" s="61"/>
      <c r="Y32" s="61"/>
      <c r="Z32" s="61"/>
      <c r="AA32" s="61"/>
      <c r="AB32" s="62"/>
      <c r="AC32" s="63"/>
    </row>
    <row r="33" customFormat="false" ht="20.45" hidden="false" customHeight="true" outlineLevel="0" collapsed="false">
      <c r="B33" s="50" t="n">
        <v>1</v>
      </c>
      <c r="C33" s="51" t="s">
        <v>45</v>
      </c>
      <c r="D33" s="52" t="s">
        <v>3</v>
      </c>
      <c r="E33" s="53" t="s">
        <v>520</v>
      </c>
      <c r="F33" s="13"/>
      <c r="G33" s="13"/>
      <c r="H33" s="13"/>
      <c r="I33" s="88" t="s">
        <v>313</v>
      </c>
      <c r="J33" s="89" t="s">
        <v>50</v>
      </c>
      <c r="K33" s="50"/>
      <c r="L33" s="56" t="s">
        <v>521</v>
      </c>
      <c r="M33" s="53" t="s">
        <v>329</v>
      </c>
      <c r="N33" s="86" t="s">
        <v>479</v>
      </c>
      <c r="O33" s="56"/>
      <c r="P33" s="29"/>
      <c r="Q33" s="57"/>
      <c r="R33" s="58"/>
      <c r="U33" s="12"/>
      <c r="V33" s="59"/>
      <c r="W33" s="60"/>
      <c r="X33" s="61"/>
      <c r="Y33" s="61"/>
      <c r="Z33" s="61"/>
      <c r="AA33" s="61"/>
      <c r="AB33" s="62"/>
      <c r="AC33" s="63"/>
    </row>
    <row r="34" customFormat="false" ht="32.05" hidden="false" customHeight="true" outlineLevel="0" collapsed="false">
      <c r="B34" s="50" t="n">
        <v>1</v>
      </c>
      <c r="C34" s="51" t="s">
        <v>45</v>
      </c>
      <c r="D34" s="52" t="s">
        <v>3</v>
      </c>
      <c r="E34" s="53" t="s">
        <v>522</v>
      </c>
      <c r="F34" s="13"/>
      <c r="G34" s="13"/>
      <c r="H34" s="13"/>
      <c r="I34" s="88" t="s">
        <v>190</v>
      </c>
      <c r="J34" s="89" t="s">
        <v>164</v>
      </c>
      <c r="K34" s="50"/>
      <c r="L34" s="56" t="s">
        <v>189</v>
      </c>
      <c r="M34" s="53" t="s">
        <v>108</v>
      </c>
      <c r="N34" s="73" t="s">
        <v>167</v>
      </c>
      <c r="O34" s="75"/>
      <c r="P34" s="29"/>
      <c r="Q34" s="57"/>
      <c r="R34" s="58"/>
      <c r="U34" s="12"/>
      <c r="V34" s="59"/>
      <c r="W34" s="60"/>
      <c r="X34" s="61"/>
      <c r="Y34" s="61"/>
      <c r="Z34" s="61"/>
      <c r="AA34" s="61"/>
      <c r="AB34" s="62"/>
      <c r="AC34" s="63"/>
    </row>
    <row r="35" customFormat="false" ht="32.05" hidden="false" customHeight="true" outlineLevel="0" collapsed="false">
      <c r="B35" s="50" t="n">
        <v>1</v>
      </c>
      <c r="C35" s="51" t="s">
        <v>45</v>
      </c>
      <c r="D35" s="52" t="s">
        <v>3</v>
      </c>
      <c r="E35" s="53" t="s">
        <v>510</v>
      </c>
      <c r="F35" s="13"/>
      <c r="G35" s="13"/>
      <c r="H35" s="13"/>
      <c r="I35" s="88" t="s">
        <v>195</v>
      </c>
      <c r="J35" s="89" t="s">
        <v>491</v>
      </c>
      <c r="K35" s="50"/>
      <c r="L35" s="56" t="s">
        <v>511</v>
      </c>
      <c r="M35" s="53" t="s">
        <v>108</v>
      </c>
      <c r="N35" s="73" t="s">
        <v>167</v>
      </c>
      <c r="O35" s="56"/>
      <c r="P35" s="29"/>
      <c r="Q35" s="57"/>
      <c r="R35" s="58"/>
      <c r="U35" s="12"/>
      <c r="V35" s="59"/>
      <c r="W35" s="60"/>
      <c r="X35" s="61"/>
      <c r="Y35" s="61"/>
      <c r="Z35" s="61"/>
      <c r="AA35" s="61"/>
      <c r="AB35" s="62"/>
      <c r="AC35" s="63"/>
    </row>
    <row r="36" customFormat="false" ht="32.05" hidden="false" customHeight="true" outlineLevel="0" collapsed="false">
      <c r="B36" s="50" t="n">
        <v>1</v>
      </c>
      <c r="C36" s="51" t="s">
        <v>45</v>
      </c>
      <c r="D36" s="52" t="s">
        <v>3</v>
      </c>
      <c r="E36" s="53" t="s">
        <v>523</v>
      </c>
      <c r="F36" s="13"/>
      <c r="G36" s="13"/>
      <c r="H36" s="13"/>
      <c r="I36" s="88" t="s">
        <v>228</v>
      </c>
      <c r="J36" s="89" t="s">
        <v>164</v>
      </c>
      <c r="K36" s="50"/>
      <c r="L36" s="56" t="s">
        <v>524</v>
      </c>
      <c r="M36" s="53" t="s">
        <v>108</v>
      </c>
      <c r="N36" s="73" t="s">
        <v>167</v>
      </c>
      <c r="O36" s="75"/>
      <c r="P36" s="29"/>
      <c r="Q36" s="57"/>
      <c r="R36" s="58"/>
      <c r="U36" s="12"/>
      <c r="V36" s="59"/>
      <c r="W36" s="60"/>
      <c r="X36" s="61"/>
      <c r="Y36" s="61"/>
      <c r="Z36" s="61"/>
      <c r="AA36" s="61"/>
      <c r="AB36" s="62"/>
      <c r="AC36" s="63"/>
    </row>
    <row r="37" customFormat="false" ht="32.05" hidden="false" customHeight="true" outlineLevel="0" collapsed="false">
      <c r="B37" s="50" t="n">
        <v>1</v>
      </c>
      <c r="C37" s="51" t="s">
        <v>45</v>
      </c>
      <c r="D37" s="52" t="s">
        <v>3</v>
      </c>
      <c r="E37" s="53" t="s">
        <v>512</v>
      </c>
      <c r="F37" s="13"/>
      <c r="G37" s="13"/>
      <c r="H37" s="13"/>
      <c r="I37" s="88" t="s">
        <v>219</v>
      </c>
      <c r="J37" s="89" t="s">
        <v>491</v>
      </c>
      <c r="K37" s="50"/>
      <c r="L37" s="56" t="s">
        <v>513</v>
      </c>
      <c r="M37" s="53" t="s">
        <v>108</v>
      </c>
      <c r="N37" s="73" t="s">
        <v>167</v>
      </c>
      <c r="O37" s="56"/>
      <c r="P37" s="29"/>
      <c r="Q37" s="57"/>
      <c r="R37" s="58"/>
      <c r="U37" s="12"/>
      <c r="V37" s="59"/>
      <c r="W37" s="60"/>
      <c r="X37" s="61"/>
      <c r="Y37" s="61"/>
      <c r="Z37" s="61"/>
      <c r="AA37" s="61"/>
      <c r="AB37" s="62"/>
      <c r="AC37" s="63"/>
    </row>
    <row r="38" customFormat="false" ht="32.05" hidden="false" customHeight="true" outlineLevel="0" collapsed="false">
      <c r="B38" s="50" t="n">
        <v>1</v>
      </c>
      <c r="C38" s="51" t="s">
        <v>45</v>
      </c>
      <c r="D38" s="52" t="s">
        <v>3</v>
      </c>
      <c r="E38" s="53" t="s">
        <v>525</v>
      </c>
      <c r="F38" s="13"/>
      <c r="G38" s="13"/>
      <c r="H38" s="13"/>
      <c r="I38" s="88" t="s">
        <v>192</v>
      </c>
      <c r="J38" s="89" t="s">
        <v>164</v>
      </c>
      <c r="K38" s="50"/>
      <c r="L38" s="56" t="s">
        <v>191</v>
      </c>
      <c r="M38" s="53" t="s">
        <v>108</v>
      </c>
      <c r="N38" s="73" t="s">
        <v>167</v>
      </c>
      <c r="O38" s="75"/>
      <c r="P38" s="29"/>
      <c r="Q38" s="57"/>
      <c r="R38" s="58"/>
      <c r="U38" s="12"/>
      <c r="V38" s="59"/>
      <c r="W38" s="60"/>
      <c r="X38" s="61"/>
      <c r="Y38" s="61"/>
      <c r="Z38" s="61"/>
      <c r="AA38" s="61"/>
      <c r="AB38" s="62"/>
      <c r="AC38" s="63"/>
    </row>
    <row r="39" customFormat="false" ht="20.45" hidden="false" customHeight="true" outlineLevel="0" collapsed="false">
      <c r="B39" s="50" t="n">
        <v>1</v>
      </c>
      <c r="C39" s="51" t="s">
        <v>45</v>
      </c>
      <c r="D39" s="52" t="s">
        <v>3</v>
      </c>
      <c r="E39" s="53" t="s">
        <v>526</v>
      </c>
      <c r="F39" s="13"/>
      <c r="G39" s="13"/>
      <c r="H39" s="13"/>
      <c r="I39" s="88" t="s">
        <v>326</v>
      </c>
      <c r="J39" s="89" t="s">
        <v>50</v>
      </c>
      <c r="K39" s="50"/>
      <c r="L39" s="56" t="s">
        <v>527</v>
      </c>
      <c r="M39" s="53" t="s">
        <v>329</v>
      </c>
      <c r="N39" s="86" t="s">
        <v>479</v>
      </c>
      <c r="O39" s="56"/>
      <c r="P39" s="29"/>
      <c r="Q39" s="57"/>
      <c r="R39" s="58"/>
      <c r="U39" s="12"/>
      <c r="V39" s="59"/>
      <c r="W39" s="60"/>
      <c r="X39" s="61"/>
      <c r="Y39" s="61"/>
      <c r="Z39" s="61"/>
      <c r="AA39" s="61"/>
      <c r="AB39" s="62"/>
      <c r="AC39" s="63"/>
    </row>
    <row r="40" customFormat="false" ht="32.05" hidden="false" customHeight="true" outlineLevel="0" collapsed="false">
      <c r="B40" s="50" t="n">
        <v>1</v>
      </c>
      <c r="C40" s="51" t="s">
        <v>45</v>
      </c>
      <c r="D40" s="52" t="s">
        <v>3</v>
      </c>
      <c r="E40" s="53" t="s">
        <v>516</v>
      </c>
      <c r="F40" s="13"/>
      <c r="G40" s="13"/>
      <c r="H40" s="13"/>
      <c r="I40" s="88" t="s">
        <v>222</v>
      </c>
      <c r="J40" s="89" t="s">
        <v>491</v>
      </c>
      <c r="K40" s="50"/>
      <c r="L40" s="56" t="s">
        <v>517</v>
      </c>
      <c r="M40" s="53" t="s">
        <v>108</v>
      </c>
      <c r="N40" s="73" t="s">
        <v>167</v>
      </c>
      <c r="O40" s="56"/>
      <c r="P40" s="29"/>
      <c r="Q40" s="57"/>
      <c r="R40" s="58"/>
      <c r="U40" s="12"/>
      <c r="V40" s="59"/>
      <c r="W40" s="60"/>
      <c r="X40" s="61"/>
      <c r="Y40" s="61"/>
      <c r="Z40" s="61"/>
      <c r="AA40" s="61"/>
      <c r="AB40" s="62"/>
      <c r="AC40" s="63"/>
    </row>
    <row r="41" customFormat="false" ht="32.05" hidden="false" customHeight="true" outlineLevel="0" collapsed="false">
      <c r="B41" s="50" t="n">
        <v>1</v>
      </c>
      <c r="C41" s="51" t="s">
        <v>45</v>
      </c>
      <c r="D41" s="52" t="s">
        <v>3</v>
      </c>
      <c r="E41" s="53" t="s">
        <v>528</v>
      </c>
      <c r="F41" s="13"/>
      <c r="G41" s="13"/>
      <c r="H41" s="13"/>
      <c r="I41" s="88" t="s">
        <v>232</v>
      </c>
      <c r="J41" s="89" t="s">
        <v>164</v>
      </c>
      <c r="K41" s="50"/>
      <c r="L41" s="56" t="s">
        <v>529</v>
      </c>
      <c r="M41" s="53" t="s">
        <v>108</v>
      </c>
      <c r="N41" s="73" t="s">
        <v>167</v>
      </c>
      <c r="O41" s="75"/>
      <c r="P41" s="29"/>
      <c r="Q41" s="57"/>
      <c r="R41" s="58"/>
      <c r="U41" s="12"/>
      <c r="V41" s="59"/>
      <c r="W41" s="60"/>
      <c r="X41" s="61"/>
      <c r="Y41" s="61"/>
      <c r="Z41" s="61"/>
      <c r="AA41" s="61"/>
      <c r="AB41" s="62"/>
      <c r="AC41" s="63"/>
    </row>
    <row r="42" customFormat="false" ht="32.05" hidden="false" customHeight="true" outlineLevel="0" collapsed="false">
      <c r="B42" s="50" t="n">
        <v>1</v>
      </c>
      <c r="C42" s="51" t="s">
        <v>45</v>
      </c>
      <c r="D42" s="52" t="s">
        <v>3</v>
      </c>
      <c r="E42" s="53" t="s">
        <v>518</v>
      </c>
      <c r="F42" s="13"/>
      <c r="G42" s="13"/>
      <c r="H42" s="13"/>
      <c r="I42" s="88" t="s">
        <v>225</v>
      </c>
      <c r="J42" s="89" t="s">
        <v>491</v>
      </c>
      <c r="K42" s="50"/>
      <c r="L42" s="56" t="s">
        <v>519</v>
      </c>
      <c r="M42" s="53" t="s">
        <v>108</v>
      </c>
      <c r="N42" s="73" t="s">
        <v>167</v>
      </c>
      <c r="O42" s="56"/>
      <c r="P42" s="29"/>
      <c r="Q42" s="57"/>
      <c r="R42" s="58"/>
      <c r="U42" s="12"/>
      <c r="V42" s="59"/>
      <c r="W42" s="60"/>
      <c r="X42" s="61"/>
      <c r="Y42" s="61"/>
      <c r="Z42" s="61"/>
      <c r="AA42" s="61"/>
      <c r="AB42" s="62"/>
      <c r="AC42" s="63"/>
    </row>
    <row r="43" customFormat="false" ht="32.05" hidden="false" customHeight="true" outlineLevel="0" collapsed="false">
      <c r="B43" s="50" t="n">
        <v>1</v>
      </c>
      <c r="C43" s="51" t="s">
        <v>45</v>
      </c>
      <c r="D43" s="52" t="s">
        <v>3</v>
      </c>
      <c r="E43" s="53" t="s">
        <v>530</v>
      </c>
      <c r="F43" s="13"/>
      <c r="G43" s="13"/>
      <c r="H43" s="13"/>
      <c r="I43" s="88" t="s">
        <v>531</v>
      </c>
      <c r="J43" s="89" t="s">
        <v>164</v>
      </c>
      <c r="K43" s="50"/>
      <c r="L43" s="56" t="s">
        <v>532</v>
      </c>
      <c r="M43" s="53" t="s">
        <v>108</v>
      </c>
      <c r="N43" s="73" t="s">
        <v>167</v>
      </c>
      <c r="O43" s="56"/>
      <c r="P43" s="29"/>
      <c r="Q43" s="57"/>
      <c r="R43" s="58"/>
      <c r="U43" s="12"/>
      <c r="V43" s="59"/>
      <c r="W43" s="60"/>
      <c r="X43" s="61"/>
      <c r="Y43" s="61"/>
      <c r="Z43" s="61"/>
      <c r="AA43" s="61"/>
      <c r="AB43" s="62"/>
      <c r="AC43" s="63"/>
    </row>
    <row r="44" customFormat="false" ht="20.45" hidden="false" customHeight="true" outlineLevel="0" collapsed="false">
      <c r="B44" s="50" t="n">
        <v>1</v>
      </c>
      <c r="C44" s="51" t="s">
        <v>45</v>
      </c>
      <c r="D44" s="52" t="s">
        <v>3</v>
      </c>
      <c r="E44" s="53" t="s">
        <v>533</v>
      </c>
      <c r="F44" s="13"/>
      <c r="G44" s="13"/>
      <c r="H44" s="13"/>
      <c r="I44" s="88" t="s">
        <v>324</v>
      </c>
      <c r="J44" s="89" t="s">
        <v>50</v>
      </c>
      <c r="K44" s="50"/>
      <c r="L44" s="56" t="s">
        <v>534</v>
      </c>
      <c r="M44" s="53" t="s">
        <v>329</v>
      </c>
      <c r="N44" s="86" t="s">
        <v>479</v>
      </c>
      <c r="O44" s="56"/>
      <c r="P44" s="29"/>
      <c r="Q44" s="57"/>
      <c r="R44" s="58"/>
      <c r="U44" s="12"/>
      <c r="V44" s="59"/>
      <c r="W44" s="60"/>
      <c r="X44" s="61"/>
      <c r="Y44" s="61"/>
      <c r="Z44" s="61"/>
      <c r="AA44" s="61"/>
      <c r="AB44" s="62"/>
      <c r="AC44" s="63"/>
    </row>
    <row r="45" customFormat="false" ht="32.05" hidden="false" customHeight="true" outlineLevel="0" collapsed="false">
      <c r="B45" s="50" t="n">
        <v>1</v>
      </c>
      <c r="C45" s="51" t="s">
        <v>45</v>
      </c>
      <c r="D45" s="52" t="s">
        <v>3</v>
      </c>
      <c r="E45" s="53" t="s">
        <v>522</v>
      </c>
      <c r="F45" s="13"/>
      <c r="G45" s="13"/>
      <c r="H45" s="13"/>
      <c r="I45" s="88" t="s">
        <v>190</v>
      </c>
      <c r="J45" s="89" t="s">
        <v>491</v>
      </c>
      <c r="K45" s="50"/>
      <c r="L45" s="56" t="s">
        <v>189</v>
      </c>
      <c r="M45" s="53" t="s">
        <v>108</v>
      </c>
      <c r="N45" s="73" t="s">
        <v>167</v>
      </c>
      <c r="O45" s="75"/>
      <c r="P45" s="29"/>
      <c r="Q45" s="57"/>
      <c r="R45" s="58"/>
      <c r="U45" s="12"/>
      <c r="V45" s="59"/>
      <c r="W45" s="60"/>
      <c r="X45" s="61"/>
      <c r="Y45" s="61"/>
      <c r="Z45" s="61"/>
      <c r="AA45" s="61"/>
      <c r="AB45" s="62"/>
      <c r="AC45" s="63"/>
    </row>
    <row r="46" customFormat="false" ht="32.05" hidden="false" customHeight="true" outlineLevel="0" collapsed="false">
      <c r="B46" s="50" t="n">
        <v>1</v>
      </c>
      <c r="C46" s="51" t="s">
        <v>45</v>
      </c>
      <c r="D46" s="52" t="s">
        <v>3</v>
      </c>
      <c r="E46" s="53" t="s">
        <v>535</v>
      </c>
      <c r="F46" s="13"/>
      <c r="G46" s="13"/>
      <c r="H46" s="13"/>
      <c r="I46" s="88" t="s">
        <v>536</v>
      </c>
      <c r="J46" s="89" t="s">
        <v>164</v>
      </c>
      <c r="K46" s="50"/>
      <c r="L46" s="56" t="s">
        <v>537</v>
      </c>
      <c r="M46" s="53" t="s">
        <v>108</v>
      </c>
      <c r="N46" s="73" t="s">
        <v>167</v>
      </c>
      <c r="O46" s="56"/>
      <c r="P46" s="29"/>
      <c r="Q46" s="57"/>
      <c r="R46" s="58"/>
      <c r="U46" s="12"/>
      <c r="V46" s="59"/>
      <c r="W46" s="60"/>
      <c r="X46" s="61"/>
      <c r="Y46" s="61"/>
      <c r="Z46" s="61"/>
      <c r="AA46" s="61"/>
      <c r="AB46" s="62"/>
      <c r="AC46" s="63"/>
    </row>
    <row r="47" customFormat="false" ht="32.05" hidden="false" customHeight="true" outlineLevel="0" collapsed="false">
      <c r="B47" s="50" t="n">
        <v>1</v>
      </c>
      <c r="C47" s="51" t="s">
        <v>45</v>
      </c>
      <c r="D47" s="52" t="s">
        <v>3</v>
      </c>
      <c r="E47" s="53" t="s">
        <v>523</v>
      </c>
      <c r="F47" s="13"/>
      <c r="G47" s="13"/>
      <c r="H47" s="13"/>
      <c r="I47" s="88" t="s">
        <v>228</v>
      </c>
      <c r="J47" s="89" t="s">
        <v>491</v>
      </c>
      <c r="K47" s="50"/>
      <c r="L47" s="56" t="s">
        <v>524</v>
      </c>
      <c r="M47" s="53" t="s">
        <v>108</v>
      </c>
      <c r="N47" s="73" t="s">
        <v>167</v>
      </c>
      <c r="O47" s="56"/>
      <c r="P47" s="29"/>
      <c r="Q47" s="57"/>
      <c r="R47" s="58"/>
      <c r="U47" s="12"/>
      <c r="V47" s="59"/>
      <c r="W47" s="60"/>
      <c r="X47" s="61"/>
      <c r="Y47" s="61"/>
      <c r="Z47" s="61"/>
      <c r="AA47" s="61"/>
      <c r="AB47" s="62"/>
      <c r="AC47" s="63"/>
    </row>
    <row r="48" customFormat="false" ht="32.05" hidden="false" customHeight="true" outlineLevel="0" collapsed="false">
      <c r="B48" s="50" t="n">
        <v>1</v>
      </c>
      <c r="C48" s="51" t="s">
        <v>45</v>
      </c>
      <c r="D48" s="52" t="s">
        <v>3</v>
      </c>
      <c r="E48" s="53" t="s">
        <v>538</v>
      </c>
      <c r="F48" s="13"/>
      <c r="G48" s="13"/>
      <c r="H48" s="13"/>
      <c r="I48" s="88" t="s">
        <v>539</v>
      </c>
      <c r="J48" s="89" t="s">
        <v>164</v>
      </c>
      <c r="K48" s="50"/>
      <c r="L48" s="56" t="s">
        <v>540</v>
      </c>
      <c r="M48" s="53" t="s">
        <v>108</v>
      </c>
      <c r="N48" s="73" t="s">
        <v>167</v>
      </c>
      <c r="O48" s="56"/>
      <c r="P48" s="29"/>
      <c r="Q48" s="57"/>
      <c r="R48" s="58"/>
      <c r="U48" s="12"/>
      <c r="V48" s="59"/>
      <c r="W48" s="60"/>
      <c r="X48" s="61"/>
      <c r="Y48" s="61"/>
      <c r="Z48" s="61"/>
      <c r="AA48" s="61"/>
      <c r="AB48" s="62"/>
      <c r="AC48" s="63"/>
    </row>
    <row r="49" customFormat="false" ht="32.05" hidden="false" customHeight="true" outlineLevel="0" collapsed="false">
      <c r="B49" s="50" t="n">
        <v>1</v>
      </c>
      <c r="C49" s="51" t="s">
        <v>45</v>
      </c>
      <c r="D49" s="52" t="s">
        <v>3</v>
      </c>
      <c r="E49" s="53" t="s">
        <v>541</v>
      </c>
      <c r="F49" s="13"/>
      <c r="G49" s="13"/>
      <c r="H49" s="13"/>
      <c r="I49" s="88" t="s">
        <v>542</v>
      </c>
      <c r="J49" s="89" t="s">
        <v>50</v>
      </c>
      <c r="K49" s="50"/>
      <c r="L49" s="56" t="s">
        <v>543</v>
      </c>
      <c r="M49" s="53" t="s">
        <v>108</v>
      </c>
      <c r="N49" s="73" t="s">
        <v>167</v>
      </c>
      <c r="O49" s="56"/>
      <c r="P49" s="29"/>
      <c r="Q49" s="57"/>
      <c r="R49" s="58"/>
      <c r="U49" s="12"/>
      <c r="V49" s="59"/>
      <c r="W49" s="60"/>
      <c r="X49" s="61"/>
      <c r="Y49" s="61"/>
      <c r="Z49" s="61"/>
      <c r="AA49" s="61"/>
      <c r="AB49" s="62"/>
      <c r="AC49" s="63"/>
    </row>
    <row r="50" customFormat="false" ht="32.05" hidden="false" customHeight="true" outlineLevel="0" collapsed="false">
      <c r="B50" s="50" t="n">
        <v>1</v>
      </c>
      <c r="C50" s="51" t="s">
        <v>45</v>
      </c>
      <c r="D50" s="52" t="s">
        <v>3</v>
      </c>
      <c r="E50" s="53" t="s">
        <v>525</v>
      </c>
      <c r="F50" s="13"/>
      <c r="G50" s="13"/>
      <c r="H50" s="13"/>
      <c r="I50" s="88" t="s">
        <v>192</v>
      </c>
      <c r="J50" s="89" t="s">
        <v>491</v>
      </c>
      <c r="K50" s="50"/>
      <c r="L50" s="56" t="s">
        <v>191</v>
      </c>
      <c r="M50" s="53" t="s">
        <v>108</v>
      </c>
      <c r="N50" s="73" t="s">
        <v>167</v>
      </c>
      <c r="O50" s="56"/>
      <c r="P50" s="29"/>
      <c r="Q50" s="57"/>
      <c r="R50" s="58"/>
      <c r="U50" s="12"/>
      <c r="V50" s="59"/>
      <c r="W50" s="60"/>
      <c r="X50" s="61"/>
      <c r="Y50" s="61"/>
      <c r="Z50" s="61"/>
      <c r="AA50" s="61"/>
      <c r="AB50" s="62"/>
      <c r="AC50" s="63"/>
    </row>
    <row r="51" customFormat="false" ht="20.45" hidden="false" customHeight="true" outlineLevel="0" collapsed="false">
      <c r="B51" s="50" t="n">
        <v>1</v>
      </c>
      <c r="C51" s="51" t="s">
        <v>45</v>
      </c>
      <c r="D51" s="52" t="s">
        <v>3</v>
      </c>
      <c r="E51" s="53" t="s">
        <v>544</v>
      </c>
      <c r="F51" s="13"/>
      <c r="G51" s="13"/>
      <c r="H51" s="13"/>
      <c r="I51" s="88" t="s">
        <v>454</v>
      </c>
      <c r="J51" s="89" t="s">
        <v>164</v>
      </c>
      <c r="K51" s="50"/>
      <c r="L51" s="56" t="s">
        <v>460</v>
      </c>
      <c r="M51" s="86" t="s">
        <v>53</v>
      </c>
      <c r="N51" s="73"/>
      <c r="O51" s="56"/>
      <c r="P51" s="29"/>
      <c r="Q51" s="57"/>
      <c r="R51" s="58"/>
      <c r="U51" s="12"/>
      <c r="V51" s="59"/>
      <c r="W51" s="60"/>
      <c r="X51" s="61"/>
      <c r="Y51" s="61"/>
      <c r="Z51" s="61"/>
      <c r="AA51" s="61"/>
      <c r="AB51" s="62"/>
      <c r="AC51" s="63"/>
    </row>
    <row r="52" customFormat="false" ht="32.05" hidden="false" customHeight="true" outlineLevel="0" collapsed="false">
      <c r="B52" s="50" t="n">
        <v>1</v>
      </c>
      <c r="C52" s="51" t="s">
        <v>45</v>
      </c>
      <c r="D52" s="52" t="s">
        <v>3</v>
      </c>
      <c r="E52" s="53" t="s">
        <v>528</v>
      </c>
      <c r="F52" s="13"/>
      <c r="G52" s="13"/>
      <c r="H52" s="13"/>
      <c r="I52" s="88" t="s">
        <v>232</v>
      </c>
      <c r="J52" s="89" t="s">
        <v>491</v>
      </c>
      <c r="K52" s="50"/>
      <c r="L52" s="56" t="s">
        <v>529</v>
      </c>
      <c r="M52" s="53" t="s">
        <v>108</v>
      </c>
      <c r="N52" s="73" t="s">
        <v>167</v>
      </c>
      <c r="O52" s="56"/>
      <c r="P52" s="29"/>
      <c r="Q52" s="57"/>
      <c r="R52" s="58"/>
      <c r="U52" s="12"/>
      <c r="V52" s="59"/>
      <c r="W52" s="60"/>
      <c r="X52" s="61"/>
      <c r="Y52" s="61"/>
      <c r="Z52" s="61"/>
      <c r="AA52" s="61"/>
      <c r="AB52" s="62"/>
      <c r="AC52" s="63"/>
    </row>
    <row r="53" customFormat="false" ht="20.45" hidden="false" customHeight="true" outlineLevel="0" collapsed="false">
      <c r="B53" s="90" t="n">
        <v>1</v>
      </c>
      <c r="C53" s="91" t="s">
        <v>45</v>
      </c>
      <c r="D53" s="92" t="s">
        <v>62</v>
      </c>
      <c r="E53" s="93" t="s">
        <v>545</v>
      </c>
      <c r="F53" s="90"/>
      <c r="G53" s="90"/>
      <c r="H53" s="90"/>
      <c r="I53" s="94" t="s">
        <v>546</v>
      </c>
      <c r="J53" s="95" t="s">
        <v>164</v>
      </c>
      <c r="K53" s="90"/>
      <c r="L53" s="96" t="s">
        <v>547</v>
      </c>
      <c r="M53" s="98"/>
      <c r="N53" s="97"/>
      <c r="O53" s="96"/>
      <c r="P53" s="98"/>
      <c r="Q53" s="96"/>
      <c r="R53" s="58"/>
      <c r="U53" s="12"/>
      <c r="V53" s="59"/>
      <c r="W53" s="60"/>
      <c r="X53" s="61"/>
      <c r="Y53" s="61"/>
      <c r="Z53" s="61"/>
      <c r="AA53" s="61"/>
      <c r="AB53" s="62"/>
      <c r="AC53" s="63"/>
    </row>
    <row r="54" customFormat="false" ht="32.05" hidden="false" customHeight="true" outlineLevel="0" collapsed="false">
      <c r="B54" s="50" t="n">
        <v>1</v>
      </c>
      <c r="C54" s="51" t="s">
        <v>45</v>
      </c>
      <c r="D54" s="52" t="s">
        <v>3</v>
      </c>
      <c r="E54" s="53" t="s">
        <v>548</v>
      </c>
      <c r="F54" s="13"/>
      <c r="G54" s="13"/>
      <c r="H54" s="13"/>
      <c r="I54" s="88" t="s">
        <v>549</v>
      </c>
      <c r="J54" s="89" t="s">
        <v>50</v>
      </c>
      <c r="K54" s="50"/>
      <c r="L54" s="56" t="s">
        <v>550</v>
      </c>
      <c r="M54" s="53" t="s">
        <v>108</v>
      </c>
      <c r="N54" s="73" t="s">
        <v>167</v>
      </c>
      <c r="O54" s="56"/>
      <c r="P54" s="29"/>
      <c r="Q54" s="57"/>
      <c r="R54" s="58"/>
      <c r="U54" s="12"/>
      <c r="V54" s="59"/>
      <c r="W54" s="60"/>
      <c r="X54" s="61"/>
      <c r="Y54" s="61"/>
      <c r="Z54" s="61"/>
      <c r="AA54" s="61"/>
      <c r="AB54" s="62"/>
      <c r="AC54" s="63"/>
    </row>
    <row r="55" customFormat="false" ht="20.45" hidden="false" customHeight="true" outlineLevel="0" collapsed="false">
      <c r="B55" s="90" t="n">
        <v>1</v>
      </c>
      <c r="C55" s="91" t="s">
        <v>45</v>
      </c>
      <c r="D55" s="92" t="s">
        <v>62</v>
      </c>
      <c r="E55" s="93" t="s">
        <v>551</v>
      </c>
      <c r="F55" s="99"/>
      <c r="G55" s="99"/>
      <c r="H55" s="99"/>
      <c r="I55" s="94" t="s">
        <v>552</v>
      </c>
      <c r="J55" s="95" t="s">
        <v>164</v>
      </c>
      <c r="K55" s="99"/>
      <c r="L55" s="99" t="s">
        <v>553</v>
      </c>
      <c r="M55" s="99"/>
      <c r="N55" s="100"/>
      <c r="O55" s="99"/>
      <c r="P55" s="99"/>
      <c r="Q55" s="99"/>
    </row>
    <row r="56" customFormat="false" ht="32.05" hidden="false" customHeight="true" outlineLevel="0" collapsed="false">
      <c r="B56" s="50" t="n">
        <v>1</v>
      </c>
      <c r="C56" s="51" t="s">
        <v>45</v>
      </c>
      <c r="D56" s="52" t="s">
        <v>3</v>
      </c>
      <c r="E56" s="53" t="s">
        <v>530</v>
      </c>
      <c r="I56" s="88" t="s">
        <v>531</v>
      </c>
      <c r="J56" s="89" t="s">
        <v>491</v>
      </c>
      <c r="L56" s="56" t="s">
        <v>532</v>
      </c>
      <c r="M56" s="53" t="s">
        <v>108</v>
      </c>
      <c r="N56" s="73" t="s">
        <v>167</v>
      </c>
    </row>
    <row r="57" customFormat="false" ht="20.45" hidden="false" customHeight="true" outlineLevel="0" collapsed="false">
      <c r="B57" s="50" t="n">
        <v>1</v>
      </c>
      <c r="C57" s="51" t="s">
        <v>45</v>
      </c>
      <c r="D57" s="52" t="s">
        <v>3</v>
      </c>
      <c r="E57" s="53" t="s">
        <v>554</v>
      </c>
      <c r="I57" s="88" t="s">
        <v>436</v>
      </c>
      <c r="J57" s="89" t="s">
        <v>164</v>
      </c>
      <c r="L57" s="0" t="s">
        <v>555</v>
      </c>
      <c r="M57" s="53" t="s">
        <v>329</v>
      </c>
      <c r="N57" s="86" t="s">
        <v>479</v>
      </c>
    </row>
    <row r="58" customFormat="false" ht="32.05" hidden="false" customHeight="true" outlineLevel="0" collapsed="false">
      <c r="B58" s="50" t="n">
        <v>1</v>
      </c>
      <c r="C58" s="51" t="s">
        <v>45</v>
      </c>
      <c r="D58" s="52" t="s">
        <v>3</v>
      </c>
      <c r="E58" s="53" t="s">
        <v>535</v>
      </c>
      <c r="I58" s="88" t="s">
        <v>536</v>
      </c>
      <c r="J58" s="89" t="s">
        <v>491</v>
      </c>
      <c r="L58" s="56" t="s">
        <v>537</v>
      </c>
      <c r="M58" s="53" t="s">
        <v>108</v>
      </c>
      <c r="N58" s="73" t="s">
        <v>167</v>
      </c>
    </row>
    <row r="59" customFormat="false" ht="20.45" hidden="false" customHeight="true" outlineLevel="0" collapsed="false">
      <c r="B59" s="50" t="n">
        <v>1</v>
      </c>
      <c r="C59" s="51" t="s">
        <v>45</v>
      </c>
      <c r="D59" s="52" t="s">
        <v>3</v>
      </c>
      <c r="E59" s="53" t="s">
        <v>356</v>
      </c>
      <c r="I59" s="88" t="s">
        <v>352</v>
      </c>
      <c r="J59" s="89" t="s">
        <v>50</v>
      </c>
      <c r="L59" s="0" t="s">
        <v>357</v>
      </c>
      <c r="M59" s="86" t="s">
        <v>53</v>
      </c>
      <c r="N59" s="86"/>
    </row>
    <row r="60" customFormat="false" ht="20.45" hidden="false" customHeight="true" outlineLevel="0" collapsed="false">
      <c r="B60" s="50" t="n">
        <v>1</v>
      </c>
      <c r="C60" s="51" t="s">
        <v>45</v>
      </c>
      <c r="D60" s="52" t="s">
        <v>3</v>
      </c>
      <c r="E60" s="53" t="s">
        <v>556</v>
      </c>
      <c r="I60" s="88" t="s">
        <v>463</v>
      </c>
      <c r="J60" s="89" t="s">
        <v>164</v>
      </c>
      <c r="L60" s="0" t="s">
        <v>557</v>
      </c>
      <c r="M60" s="53" t="s">
        <v>329</v>
      </c>
      <c r="N60" s="86" t="s">
        <v>479</v>
      </c>
    </row>
    <row r="61" customFormat="false" ht="32.05" hidden="false" customHeight="true" outlineLevel="0" collapsed="false">
      <c r="B61" s="50" t="n">
        <v>1</v>
      </c>
      <c r="C61" s="51" t="s">
        <v>45</v>
      </c>
      <c r="D61" s="52" t="s">
        <v>3</v>
      </c>
      <c r="E61" s="53" t="s">
        <v>538</v>
      </c>
      <c r="I61" s="88" t="s">
        <v>539</v>
      </c>
      <c r="J61" s="89" t="s">
        <v>491</v>
      </c>
      <c r="L61" s="56" t="s">
        <v>540</v>
      </c>
      <c r="M61" s="53" t="s">
        <v>108</v>
      </c>
      <c r="N61" s="73" t="s">
        <v>167</v>
      </c>
    </row>
    <row r="62" customFormat="false" ht="20.45" hidden="false" customHeight="true" outlineLevel="0" collapsed="false">
      <c r="B62" s="50" t="n">
        <v>1</v>
      </c>
      <c r="C62" s="51" t="s">
        <v>45</v>
      </c>
      <c r="D62" s="52" t="s">
        <v>3</v>
      </c>
      <c r="E62" s="53" t="s">
        <v>544</v>
      </c>
      <c r="I62" s="88" t="s">
        <v>454</v>
      </c>
      <c r="J62" s="89" t="s">
        <v>491</v>
      </c>
      <c r="L62" s="56" t="s">
        <v>460</v>
      </c>
      <c r="M62" s="86" t="s">
        <v>53</v>
      </c>
      <c r="N62" s="86"/>
    </row>
    <row r="63" customFormat="false" ht="32.05" hidden="false" customHeight="true" outlineLevel="0" collapsed="false">
      <c r="B63" s="50" t="n">
        <v>1</v>
      </c>
      <c r="C63" s="51" t="s">
        <v>45</v>
      </c>
      <c r="D63" s="52" t="s">
        <v>3</v>
      </c>
      <c r="E63" s="53" t="s">
        <v>558</v>
      </c>
      <c r="I63" s="88" t="s">
        <v>376</v>
      </c>
      <c r="J63" s="89" t="s">
        <v>50</v>
      </c>
      <c r="L63" s="0" t="s">
        <v>559</v>
      </c>
      <c r="M63" s="53" t="s">
        <v>108</v>
      </c>
      <c r="N63" s="73" t="s">
        <v>167</v>
      </c>
    </row>
    <row r="64" customFormat="false" ht="20.45" hidden="false" customHeight="true" outlineLevel="0" collapsed="false">
      <c r="B64" s="90" t="n">
        <v>1</v>
      </c>
      <c r="C64" s="91" t="s">
        <v>45</v>
      </c>
      <c r="D64" s="92" t="s">
        <v>62</v>
      </c>
      <c r="E64" s="93" t="s">
        <v>545</v>
      </c>
      <c r="F64" s="99"/>
      <c r="G64" s="99"/>
      <c r="H64" s="99"/>
      <c r="I64" s="94" t="s">
        <v>546</v>
      </c>
      <c r="J64" s="95" t="s">
        <v>491</v>
      </c>
      <c r="K64" s="99"/>
      <c r="L64" s="96" t="s">
        <v>547</v>
      </c>
      <c r="M64" s="99"/>
      <c r="N64" s="100"/>
      <c r="O64" s="99"/>
      <c r="P64" s="99"/>
      <c r="Q64" s="99"/>
    </row>
    <row r="65" customFormat="false" ht="20.45" hidden="false" customHeight="true" outlineLevel="0" collapsed="false">
      <c r="B65" s="50" t="n">
        <v>1</v>
      </c>
      <c r="C65" s="51" t="s">
        <v>45</v>
      </c>
      <c r="D65" s="52" t="s">
        <v>3</v>
      </c>
      <c r="E65" s="53" t="s">
        <v>560</v>
      </c>
      <c r="I65" s="88" t="s">
        <v>422</v>
      </c>
      <c r="J65" s="89" t="s">
        <v>164</v>
      </c>
      <c r="L65" s="0" t="s">
        <v>561</v>
      </c>
      <c r="M65" s="53" t="s">
        <v>329</v>
      </c>
      <c r="N65" s="86" t="s">
        <v>479</v>
      </c>
    </row>
    <row r="66" customFormat="false" ht="20.45" hidden="false" customHeight="true" outlineLevel="0" collapsed="false">
      <c r="B66" s="50" t="n">
        <v>1</v>
      </c>
      <c r="C66" s="51" t="s">
        <v>45</v>
      </c>
      <c r="D66" s="52" t="s">
        <v>3</v>
      </c>
      <c r="E66" s="53" t="s">
        <v>562</v>
      </c>
      <c r="I66" s="88" t="s">
        <v>450</v>
      </c>
      <c r="J66" s="89" t="s">
        <v>164</v>
      </c>
      <c r="L66" s="0" t="s">
        <v>563</v>
      </c>
      <c r="M66" s="86" t="s">
        <v>53</v>
      </c>
    </row>
    <row r="67" customFormat="false" ht="20.45" hidden="false" customHeight="true" outlineLevel="0" collapsed="false">
      <c r="B67" s="90" t="n">
        <v>1</v>
      </c>
      <c r="C67" s="91" t="s">
        <v>45</v>
      </c>
      <c r="D67" s="92" t="s">
        <v>62</v>
      </c>
      <c r="E67" s="93" t="s">
        <v>551</v>
      </c>
      <c r="F67" s="99"/>
      <c r="G67" s="99"/>
      <c r="H67" s="99"/>
      <c r="I67" s="94" t="s">
        <v>552</v>
      </c>
      <c r="J67" s="95" t="s">
        <v>491</v>
      </c>
      <c r="K67" s="99"/>
      <c r="L67" s="99" t="s">
        <v>553</v>
      </c>
      <c r="M67" s="99"/>
      <c r="N67" s="100"/>
      <c r="O67" s="99"/>
      <c r="P67" s="99"/>
      <c r="Q67" s="99"/>
    </row>
    <row r="68" customFormat="false" ht="32.05" hidden="false" customHeight="true" outlineLevel="0" collapsed="false">
      <c r="B68" s="50" t="n">
        <v>1</v>
      </c>
      <c r="C68" s="51" t="s">
        <v>45</v>
      </c>
      <c r="D68" s="52" t="s">
        <v>3</v>
      </c>
      <c r="E68" s="53" t="s">
        <v>564</v>
      </c>
      <c r="I68" s="88" t="s">
        <v>378</v>
      </c>
      <c r="J68" s="89" t="s">
        <v>50</v>
      </c>
      <c r="L68" s="0" t="s">
        <v>565</v>
      </c>
      <c r="M68" s="0" t="s">
        <v>566</v>
      </c>
      <c r="N68" s="73" t="s">
        <v>567</v>
      </c>
    </row>
    <row r="69" customFormat="false" ht="20.45" hidden="false" customHeight="true" outlineLevel="0" collapsed="false">
      <c r="B69" s="50" t="n">
        <v>1</v>
      </c>
      <c r="C69" s="51" t="s">
        <v>45</v>
      </c>
      <c r="D69" s="52" t="s">
        <v>3</v>
      </c>
      <c r="E69" s="53" t="s">
        <v>554</v>
      </c>
      <c r="I69" s="88" t="s">
        <v>436</v>
      </c>
      <c r="J69" s="89" t="s">
        <v>491</v>
      </c>
      <c r="L69" s="0" t="s">
        <v>555</v>
      </c>
      <c r="M69" s="53" t="s">
        <v>329</v>
      </c>
      <c r="N69" s="86"/>
    </row>
    <row r="70" customFormat="false" ht="20.45" hidden="false" customHeight="true" outlineLevel="0" collapsed="false">
      <c r="B70" s="50" t="n">
        <v>1</v>
      </c>
      <c r="C70" s="51" t="s">
        <v>45</v>
      </c>
      <c r="D70" s="52" t="s">
        <v>3</v>
      </c>
      <c r="E70" s="53" t="s">
        <v>556</v>
      </c>
      <c r="I70" s="88" t="s">
        <v>463</v>
      </c>
      <c r="J70" s="89" t="s">
        <v>491</v>
      </c>
      <c r="L70" s="0" t="s">
        <v>557</v>
      </c>
      <c r="M70" s="53" t="s">
        <v>329</v>
      </c>
      <c r="N70" s="86"/>
    </row>
    <row r="71" customFormat="false" ht="32.05" hidden="false" customHeight="true" outlineLevel="0" collapsed="false">
      <c r="B71" s="50" t="n">
        <v>1</v>
      </c>
      <c r="C71" s="51" t="s">
        <v>45</v>
      </c>
      <c r="D71" s="52" t="s">
        <v>3</v>
      </c>
      <c r="E71" s="53" t="s">
        <v>568</v>
      </c>
      <c r="I71" s="88" t="s">
        <v>569</v>
      </c>
      <c r="J71" s="89" t="s">
        <v>50</v>
      </c>
      <c r="L71" s="0" t="s">
        <v>570</v>
      </c>
      <c r="M71" s="53" t="s">
        <v>108</v>
      </c>
      <c r="N71" s="73" t="s">
        <v>167</v>
      </c>
    </row>
    <row r="72" customFormat="false" ht="20.45" hidden="false" customHeight="true" outlineLevel="0" collapsed="false">
      <c r="B72" s="50" t="n">
        <v>1</v>
      </c>
      <c r="C72" s="51" t="s">
        <v>45</v>
      </c>
      <c r="D72" s="52" t="s">
        <v>3</v>
      </c>
      <c r="E72" s="53" t="s">
        <v>560</v>
      </c>
      <c r="I72" s="88" t="s">
        <v>422</v>
      </c>
      <c r="J72" s="89" t="s">
        <v>491</v>
      </c>
      <c r="L72" s="0" t="s">
        <v>561</v>
      </c>
      <c r="M72" s="53" t="s">
        <v>329</v>
      </c>
      <c r="N72" s="86" t="s">
        <v>479</v>
      </c>
    </row>
    <row r="73" customFormat="false" ht="32.05" hidden="false" customHeight="true" outlineLevel="0" collapsed="false">
      <c r="B73" s="50" t="n">
        <v>1</v>
      </c>
      <c r="C73" s="51" t="s">
        <v>45</v>
      </c>
      <c r="D73" s="52" t="s">
        <v>3</v>
      </c>
      <c r="E73" s="53" t="s">
        <v>571</v>
      </c>
      <c r="I73" s="88" t="s">
        <v>260</v>
      </c>
      <c r="J73" s="89" t="s">
        <v>50</v>
      </c>
      <c r="L73" s="0" t="s">
        <v>270</v>
      </c>
      <c r="M73" s="53" t="s">
        <v>108</v>
      </c>
      <c r="N73" s="73" t="s">
        <v>167</v>
      </c>
    </row>
    <row r="74" customFormat="false" ht="20.45" hidden="false" customHeight="true" outlineLevel="0" collapsed="false">
      <c r="B74" s="50" t="n">
        <v>1</v>
      </c>
      <c r="C74" s="51" t="s">
        <v>45</v>
      </c>
      <c r="D74" s="52" t="s">
        <v>3</v>
      </c>
      <c r="E74" s="53" t="s">
        <v>562</v>
      </c>
      <c r="I74" s="88" t="s">
        <v>450</v>
      </c>
      <c r="J74" s="89" t="s">
        <v>491</v>
      </c>
      <c r="L74" s="0" t="s">
        <v>572</v>
      </c>
      <c r="M74" s="86" t="s">
        <v>53</v>
      </c>
      <c r="N74" s="86"/>
    </row>
    <row r="75" customFormat="false" ht="32.05" hidden="false" customHeight="true" outlineLevel="0" collapsed="false">
      <c r="B75" s="50" t="n">
        <v>1</v>
      </c>
      <c r="C75" s="51" t="s">
        <v>45</v>
      </c>
      <c r="D75" s="52" t="s">
        <v>3</v>
      </c>
      <c r="E75" s="53" t="s">
        <v>573</v>
      </c>
      <c r="I75" s="88" t="s">
        <v>407</v>
      </c>
      <c r="J75" s="89" t="s">
        <v>50</v>
      </c>
      <c r="L75" s="0" t="s">
        <v>409</v>
      </c>
      <c r="M75" s="53" t="s">
        <v>108</v>
      </c>
      <c r="N75" s="73" t="s">
        <v>167</v>
      </c>
    </row>
    <row r="76" customFormat="false" ht="20.45" hidden="false" customHeight="true" outlineLevel="0" collapsed="false">
      <c r="B76" s="50" t="n">
        <v>1</v>
      </c>
      <c r="C76" s="51" t="s">
        <v>45</v>
      </c>
      <c r="D76" s="52" t="s">
        <v>3</v>
      </c>
      <c r="E76" s="53" t="s">
        <v>574</v>
      </c>
      <c r="I76" s="88" t="s">
        <v>384</v>
      </c>
      <c r="J76" s="89" t="s">
        <v>50</v>
      </c>
      <c r="L76" s="0" t="s">
        <v>575</v>
      </c>
      <c r="M76" s="53" t="s">
        <v>329</v>
      </c>
      <c r="N76" s="86" t="s">
        <v>479</v>
      </c>
    </row>
    <row r="77" customFormat="false" ht="20.45" hidden="false" customHeight="true" outlineLevel="0" collapsed="false">
      <c r="B77" s="50" t="n">
        <v>1</v>
      </c>
      <c r="C77" s="51" t="s">
        <v>45</v>
      </c>
      <c r="D77" s="52" t="s">
        <v>3</v>
      </c>
      <c r="E77" s="53" t="s">
        <v>576</v>
      </c>
      <c r="I77" s="88" t="s">
        <v>411</v>
      </c>
      <c r="J77" s="89" t="s">
        <v>50</v>
      </c>
      <c r="L77" s="0" t="s">
        <v>577</v>
      </c>
      <c r="M77" s="53" t="s">
        <v>329</v>
      </c>
      <c r="N77" s="86" t="s">
        <v>479</v>
      </c>
    </row>
    <row r="78" customFormat="false" ht="20.45" hidden="false" customHeight="true" outlineLevel="0" collapsed="false">
      <c r="B78" s="50" t="n">
        <v>1</v>
      </c>
      <c r="C78" s="51" t="s">
        <v>45</v>
      </c>
      <c r="D78" s="52" t="s">
        <v>3</v>
      </c>
      <c r="E78" s="53" t="s">
        <v>578</v>
      </c>
      <c r="I78" s="88" t="s">
        <v>396</v>
      </c>
      <c r="J78" s="89" t="s">
        <v>50</v>
      </c>
      <c r="L78" s="0" t="s">
        <v>579</v>
      </c>
      <c r="M78" s="53" t="s">
        <v>329</v>
      </c>
      <c r="N78" s="86" t="s">
        <v>479</v>
      </c>
    </row>
    <row r="79" customFormat="false" ht="20.45" hidden="false" customHeight="true" outlineLevel="0" collapsed="false">
      <c r="B79" s="101" t="n">
        <v>1</v>
      </c>
      <c r="C79" s="102" t="s">
        <v>45</v>
      </c>
      <c r="D79" s="103" t="s">
        <v>62</v>
      </c>
      <c r="E79" s="104" t="s">
        <v>580</v>
      </c>
      <c r="F79" s="105"/>
      <c r="G79" s="105"/>
      <c r="H79" s="105"/>
      <c r="I79" s="106" t="s">
        <v>581</v>
      </c>
      <c r="J79" s="107" t="s">
        <v>50</v>
      </c>
      <c r="K79" s="105"/>
      <c r="L79" s="105" t="s">
        <v>582</v>
      </c>
      <c r="M79" s="108" t="s">
        <v>108</v>
      </c>
      <c r="N79" s="109"/>
      <c r="O79" s="105"/>
      <c r="P79" s="105"/>
      <c r="Q79" s="105"/>
    </row>
  </sheetData>
  <mergeCells count="11">
    <mergeCell ref="B1:D1"/>
    <mergeCell ref="B2:C2"/>
    <mergeCell ref="I2:J2"/>
    <mergeCell ref="D4:E4"/>
    <mergeCell ref="F4:H4"/>
    <mergeCell ref="I4:K4"/>
    <mergeCell ref="L4:N4"/>
    <mergeCell ref="O4:Q4"/>
    <mergeCell ref="R4:V4"/>
    <mergeCell ref="W4:AB4"/>
    <mergeCell ref="AC4:AE4"/>
  </mergeCells>
  <dataValidations count="21">
    <dataValidation allowBlank="true" operator="equal" showDropDown="false" showErrorMessage="true" showInputMessage="false" sqref="W6:AB54" type="list">
      <formula1>"True,False"</formula1>
      <formula2>0</formula2>
    </dataValidation>
    <dataValidation allowBlank="true" operator="equal" showDropDown="false" showErrorMessage="true" showInputMessage="false" sqref="J6" type="list">
      <formula1>"K,L3,L2,L1"</formula1>
      <formula2>0</formula2>
    </dataValidation>
    <dataValidation allowBlank="true" operator="equal" showDropDown="false" showErrorMessage="true" showInputMessage="false" sqref="K6" type="list">
      <formula1>"unfocused,focused"</formula1>
      <formula2>0</formula2>
    </dataValidation>
    <dataValidation allowBlank="true" operator="between" showDropDown="false" showErrorMessage="true" showInputMessage="false" sqref="F6" type="whole">
      <formula1>0</formula1>
      <formula2>1000</formula2>
    </dataValidation>
    <dataValidation allowBlank="true" operator="between" showDropDown="false" showErrorMessage="true" showInputMessage="false" sqref="B7:B79" type="whole">
      <formula1>1</formula1>
      <formula2>24</formula2>
    </dataValidation>
    <dataValidation allowBlank="true" operator="equal" showDropDown="false" showErrorMessage="true" showInputMessage="false" sqref="K2 D6" type="list">
      <formula1>"Yes,No"</formula1>
      <formula2>0</formula2>
    </dataValidation>
    <dataValidation allowBlank="true" operator="equal" showDropDown="false" showErrorMessage="true" showInputMessage="false" sqref="H6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M2" type="list">
      <formula1>"No,Element at beginning,Element at end,Element+edge at beginning,Element+edge at end"</formula1>
      <formula2>0</formula2>
    </dataValidation>
    <dataValidation allowBlank="true" operator="equal" showDropDown="false" showErrorMessage="true" showInputMessage="false" sqref="I6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C6" type="list">
      <formula1>"Outer,Inner,"</formula1>
      <formula2>0</formula2>
    </dataValidation>
    <dataValidation allowBlank="true" operator="between" showDropDown="false" showErrorMessage="true" showInputMessage="false" sqref="AC6:AE6" type="decimal">
      <formula1>-0.1</formula1>
      <formula2>8</formula2>
    </dataValidation>
    <dataValidation allowBlank="true" operator="between" showDropDown="false" showErrorMessage="true" showInputMessage="false" sqref="S55:V72" type="none">
      <formula1>-150</formula1>
      <formula2>150</formula2>
    </dataValidation>
    <dataValidation allowBlank="true" operator="between" showDropDown="false" showErrorMessage="true" showInputMessage="false" sqref="R6:V6 S7:V54" type="none">
      <formula1>10</formula1>
      <formula2>210</formula2>
    </dataValidation>
    <dataValidation allowBlank="true" operator="greaterThanOrEqual" showDropDown="false" showErrorMessage="true" showInputMessage="false" sqref="O2" type="whole">
      <formula1>1</formula1>
      <formula2>0</formula2>
    </dataValidation>
    <dataValidation allowBlank="true" operator="equal" showDropDown="false" showErrorMessage="true" showInputMessage="false" sqref="H7:H54" type="list">
      <formula1>"transmission,fluorescence,both,reference,yield,test,xs"</formula1>
      <formula2>0</formula2>
    </dataValidation>
    <dataValidation allowBlank="true" operator="equal" showDropDown="false" showErrorMessage="true" showInputMessage="false" sqref="I7:I79" type="list">
      <formula1>"Ca,Sc,Ti,V,Cr,Mn,Fe,Co,Ni,Cu,Zn,Ga,Ge,As,Se,Br,Kr,Rb,Sr,Y,Zr,Nb,Mo,Tc,Ru,Pd,Ag,Cd,In,Sn,Sb,Te,I,Xe,Cs,Ba,La,Ce,Pr,Nd,Pm,Sm,Eu,Gd,Tb,Dy,Ho,Er,Tm,Yb,Lu,Hf,Ta,W,Re,Os,Ir,Pt,Au,Hg,Tl,Pb,Bi,Po,At,Rn,Fr,Ra,Ac,Th,Pa,U,Np,Pu,Am"</formula1>
      <formula2>0</formula2>
    </dataValidation>
    <dataValidation allowBlank="true" operator="equal" showDropDown="false" showErrorMessage="true" showInputMessage="false" sqref="D7:D79" type="list">
      <formula1>"Yes,No"</formula1>
      <formula2>0</formula2>
    </dataValidation>
    <dataValidation allowBlank="true" operator="between" showDropDown="false" showErrorMessage="true" showInputMessage="false" sqref="F7:F54" type="whole">
      <formula1>0</formula1>
      <formula2>1000</formula2>
    </dataValidation>
    <dataValidation allowBlank="true" operator="equal" showDropDown="false" showErrorMessage="true" showInputMessage="false" sqref="J7:J79" type="list">
      <formula1>"K,L3,L2,L1"</formula1>
      <formula2>0</formula2>
    </dataValidation>
    <dataValidation allowBlank="true" operator="equal" showDropDown="false" showErrorMessage="true" showInputMessage="false" sqref="K7:K54" type="list">
      <formula1>"unfocused,focused"</formula1>
      <formula2>0</formula2>
    </dataValidation>
    <dataValidation allowBlank="true" operator="equal" showDropDown="false" showErrorMessage="true" showInputMessage="false" sqref="C7:C79" type="list">
      <formula1>"Outer,Inner,"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2" colorId="64" zoomScale="90" zoomScaleNormal="90" zoomScalePageLayoutView="100" workbookViewId="0">
      <selection pane="topLeft" activeCell="B19" activeCellId="1" sqref="N25 B19"/>
    </sheetView>
  </sheetViews>
  <sheetFormatPr defaultColWidth="12.0546875" defaultRowHeight="12.8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0" width="115.2"/>
  </cols>
  <sheetData>
    <row r="1" s="110" customFormat="true" ht="12.8" hidden="false" customHeight="false" outlineLevel="0" collapsed="false">
      <c r="A1" s="28" t="s">
        <v>583</v>
      </c>
    </row>
    <row r="2" customFormat="false" ht="12.8" hidden="false" customHeight="false" outlineLevel="0" collapsed="false">
      <c r="A2" s="28" t="s">
        <v>584</v>
      </c>
      <c r="B2" s="110"/>
    </row>
    <row r="3" customFormat="false" ht="12.8" hidden="false" customHeight="false" outlineLevel="0" collapsed="false">
      <c r="A3" s="28" t="n">
        <v>14</v>
      </c>
      <c r="B3" s="110"/>
    </row>
    <row r="4" customFormat="false" ht="12.8" hidden="false" customHeight="false" outlineLevel="0" collapsed="false">
      <c r="A4" s="28"/>
      <c r="B4" s="110"/>
    </row>
    <row r="5" customFormat="false" ht="12.8" hidden="false" customHeight="false" outlineLevel="0" collapsed="false">
      <c r="A5" s="28" t="s">
        <v>584</v>
      </c>
      <c r="B5" s="110" t="s">
        <v>585</v>
      </c>
    </row>
    <row r="6" customFormat="false" ht="12.8" hidden="false" customHeight="false" outlineLevel="0" collapsed="false">
      <c r="A6" s="1" t="n">
        <v>1</v>
      </c>
      <c r="B6" s="0" t="s">
        <v>586</v>
      </c>
    </row>
    <row r="7" customFormat="false" ht="12.8" hidden="false" customHeight="false" outlineLevel="0" collapsed="false">
      <c r="A7" s="1" t="n">
        <v>2</v>
      </c>
      <c r="B7" s="0" t="s">
        <v>587</v>
      </c>
    </row>
    <row r="8" customFormat="false" ht="12.8" hidden="false" customHeight="false" outlineLevel="0" collapsed="false">
      <c r="A8" s="1" t="n">
        <v>3</v>
      </c>
      <c r="B8" s="0" t="s">
        <v>588</v>
      </c>
    </row>
    <row r="9" customFormat="false" ht="12.8" hidden="false" customHeight="false" outlineLevel="0" collapsed="false">
      <c r="A9" s="1" t="n">
        <v>4</v>
      </c>
      <c r="B9" s="0" t="s">
        <v>589</v>
      </c>
    </row>
    <row r="10" customFormat="false" ht="12.8" hidden="false" customHeight="false" outlineLevel="0" collapsed="false">
      <c r="A10" s="1" t="n">
        <v>5</v>
      </c>
      <c r="B10" s="0" t="s">
        <v>590</v>
      </c>
    </row>
    <row r="11" customFormat="false" ht="12.8" hidden="false" customHeight="false" outlineLevel="0" collapsed="false">
      <c r="A11" s="1" t="n">
        <v>6</v>
      </c>
      <c r="B11" s="0" t="s">
        <v>591</v>
      </c>
    </row>
    <row r="12" customFormat="false" ht="12.8" hidden="false" customHeight="false" outlineLevel="0" collapsed="false">
      <c r="A12" s="1" t="n">
        <v>7</v>
      </c>
      <c r="B12" s="0" t="s">
        <v>592</v>
      </c>
    </row>
    <row r="13" customFormat="false" ht="12.8" hidden="false" customHeight="false" outlineLevel="0" collapsed="false">
      <c r="A13" s="1" t="n">
        <v>8</v>
      </c>
      <c r="B13" s="0" t="s">
        <v>593</v>
      </c>
    </row>
    <row r="14" customFormat="false" ht="12.8" hidden="false" customHeight="false" outlineLevel="0" collapsed="false">
      <c r="A14" s="1" t="n">
        <v>9</v>
      </c>
      <c r="B14" s="0" t="s">
        <v>594</v>
      </c>
    </row>
    <row r="15" customFormat="false" ht="12.8" hidden="false" customHeight="false" outlineLevel="0" collapsed="false">
      <c r="A15" s="1" t="n">
        <v>10</v>
      </c>
      <c r="B15" s="0" t="s">
        <v>595</v>
      </c>
    </row>
    <row r="16" customFormat="false" ht="12.8" hidden="false" customHeight="false" outlineLevel="0" collapsed="false">
      <c r="A16" s="1" t="n">
        <v>11</v>
      </c>
      <c r="B16" s="0" t="s">
        <v>596</v>
      </c>
    </row>
    <row r="17" customFormat="false" ht="12.8" hidden="false" customHeight="false" outlineLevel="0" collapsed="false">
      <c r="A17" s="1" t="n">
        <v>12</v>
      </c>
      <c r="B17" s="0" t="s">
        <v>597</v>
      </c>
    </row>
    <row r="18" customFormat="false" ht="24.85" hidden="false" customHeight="false" outlineLevel="0" collapsed="false">
      <c r="A18" s="1" t="n">
        <v>13</v>
      </c>
      <c r="B18" s="86" t="s">
        <v>598</v>
      </c>
    </row>
    <row r="19" customFormat="false" ht="12.8" hidden="false" customHeight="false" outlineLevel="0" collapsed="false">
      <c r="A19" s="1" t="n">
        <v>14</v>
      </c>
      <c r="B19" s="0" t="s">
        <v>599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8476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2019-09-30T16:23:53Z</dcterms:created>
  <dc:creator/>
  <dc:description/>
  <dc:language>en-US</dc:language>
  <cp:lastModifiedBy/>
  <dcterms:modified xsi:type="dcterms:W3CDTF">2026-07-04T09:45:44Z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